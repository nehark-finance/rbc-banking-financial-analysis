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tables/table4.xml" ContentType="application/vnd.openxmlformats-officedocument.spreadsheetml.table+xml"/>
  <Override PartName="/xl/drawings/drawing4.xml" ContentType="application/vnd.openxmlformats-officedocument.drawing+xml"/>
  <Override PartName="/xl/charts/chart9.xml" ContentType="application/vnd.openxmlformats-officedocument.drawingml.chart+xml"/>
  <Override PartName="/xl/pivotTables/pivotTable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D:\working\waccache\TO1PEPF00009091\EXCELCNV\dd4c59a7-6598-456d-9d30-12dc36257acb\"/>
    </mc:Choice>
  </mc:AlternateContent>
  <xr:revisionPtr revIDLastSave="0" documentId="8_{BAA3282A-AA01-4A33-AA6C-72BB808AFEB9}" xr6:coauthVersionLast="47" xr6:coauthVersionMax="47" xr10:uidLastSave="{00000000-0000-0000-0000-000000000000}"/>
  <bookViews>
    <workbookView xWindow="-60" yWindow="-60" windowWidth="15480" windowHeight="11640" firstSheet="21" activeTab="21" xr2:uid="{00000000-000D-0000-FFFF-FFFF00000000}"/>
  </bookViews>
  <sheets>
    <sheet name="01_Cover" sheetId="1" r:id="rId1"/>
    <sheet name="02_Project_Charter" sheetId="2" r:id="rId2"/>
    <sheet name="03_Source_Register" sheetId="3" r:id="rId3"/>
    <sheet name="04_Definitions" sheetId="4" r:id="rId4"/>
    <sheet name="05_Raw_Annual_Performance" sheetId="5" r:id="rId5"/>
    <sheet name="06_Raw_Quarterly_Performance" sheetId="6" r:id="rId6"/>
    <sheet name="07_Raw_Balance_Sheet" sheetId="7" r:id="rId7"/>
    <sheet name="08_Raw_Credit_Quality" sheetId="8" r:id="rId8"/>
    <sheet name="09_Raw_Capital_Liquidity" sheetId="9" r:id="rId9"/>
    <sheet name="10_Raw_Segment_Results" sheetId="10" r:id="rId10"/>
    <sheet name="11_STD_Performance" sheetId="11" r:id="rId11"/>
    <sheet name="12_STD_Balance_Sheet" sheetId="12" r:id="rId12"/>
    <sheet name="13_STD_Credit_Risk" sheetId="13" r:id="rId13"/>
    <sheet name="14_STD_Capital_Liquidity" sheetId="14" r:id="rId14"/>
    <sheet name="15_KPI_Analysis" sheetId="15" r:id="rId15"/>
    <sheet name="16_Quarterly_Trends" sheetId="16" r:id="rId16"/>
    <sheet name="17_Segment_Analysis" sheetId="17" r:id="rId17"/>
    <sheet name="18_Dashboard_Data" sheetId="18" r:id="rId18"/>
    <sheet name="19_Dashboard" sheetId="19" r:id="rId19"/>
    <sheet name="20_Analyst_Commentary" sheetId="20" r:id="rId20"/>
    <sheet name="21_Interactive_Analysis" sheetId="21" r:id="rId21"/>
    <sheet name="22_Advanced_Excel" sheetId="23" r:id="rId22"/>
    <sheet name="23_Pivot_Source" sheetId="22" r:id="rId23"/>
    <sheet name="24_Pivot_Summary" sheetId="24" r:id="rId24"/>
    <sheet name="25_Data_Audit" sheetId="25" r:id="rId25"/>
    <sheet name="26_Native_PivotTable" sheetId="26" r:id="rId26"/>
  </sheets>
  <definedNames>
    <definedName name="Slicer_Period">#N/A</definedName>
    <definedName name="Slicer_Segment">#N/A</definedName>
  </definedNames>
  <calcPr calcId="191028"/>
  <pivotCaches>
    <pivotCache cacheId="372" r:id="rId27"/>
  </pivotCaches>
  <extLs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25" l="1"/>
  <c r="E27" i="25"/>
  <c r="D27" i="25"/>
  <c r="C27" i="25"/>
  <c r="H27" i="25" s="1"/>
  <c r="I27" i="25" s="1"/>
  <c r="B27" i="25"/>
  <c r="F26" i="25"/>
  <c r="E26" i="25"/>
  <c r="D26" i="25"/>
  <c r="C26" i="25"/>
  <c r="B26" i="25"/>
  <c r="H26" i="25" s="1"/>
  <c r="I26" i="25" s="1"/>
  <c r="F25" i="25"/>
  <c r="E25" i="25"/>
  <c r="D25" i="25"/>
  <c r="C25" i="25"/>
  <c r="B25" i="25"/>
  <c r="H25" i="25" s="1"/>
  <c r="I25" i="25" s="1"/>
  <c r="F24" i="25"/>
  <c r="E24" i="25"/>
  <c r="D24" i="25"/>
  <c r="C24" i="25"/>
  <c r="B24" i="25"/>
  <c r="H24" i="25" s="1"/>
  <c r="I24" i="25" s="1"/>
  <c r="F19" i="25"/>
  <c r="E19" i="25"/>
  <c r="G19" i="25" s="1"/>
  <c r="I19" i="25" s="1"/>
  <c r="C19" i="25"/>
  <c r="B19" i="25"/>
  <c r="D19" i="25" s="1"/>
  <c r="H19" i="25" s="1"/>
  <c r="F18" i="25"/>
  <c r="E18" i="25"/>
  <c r="G18" i="25" s="1"/>
  <c r="I18" i="25" s="1"/>
  <c r="C18" i="25"/>
  <c r="B18" i="25"/>
  <c r="D18" i="25" s="1"/>
  <c r="H18" i="25" s="1"/>
  <c r="F17" i="25"/>
  <c r="E17" i="25"/>
  <c r="G17" i="25" s="1"/>
  <c r="I17" i="25" s="1"/>
  <c r="C17" i="25"/>
  <c r="B17" i="25"/>
  <c r="D17" i="25" s="1"/>
  <c r="H17" i="25" s="1"/>
  <c r="F16" i="25"/>
  <c r="E16" i="25"/>
  <c r="G16" i="25" s="1"/>
  <c r="I16" i="25" s="1"/>
  <c r="C16" i="25"/>
  <c r="B16" i="25"/>
  <c r="D16" i="25" s="1"/>
  <c r="H16" i="25" s="1"/>
  <c r="F15" i="25"/>
  <c r="E15" i="25"/>
  <c r="G15" i="25" s="1"/>
  <c r="I15" i="25" s="1"/>
  <c r="C15" i="25"/>
  <c r="B15" i="25"/>
  <c r="D15" i="25" s="1"/>
  <c r="H15" i="25" s="1"/>
  <c r="G10" i="25"/>
  <c r="F10" i="25"/>
  <c r="E10" i="25"/>
  <c r="D10" i="25"/>
  <c r="C10" i="25"/>
  <c r="B10" i="25"/>
  <c r="H10" i="25" s="1"/>
  <c r="I10" i="25" s="1"/>
  <c r="G9" i="25"/>
  <c r="F9" i="25"/>
  <c r="E9" i="25"/>
  <c r="D9" i="25"/>
  <c r="C9" i="25"/>
  <c r="B9" i="25"/>
  <c r="H9" i="25" s="1"/>
  <c r="I9" i="25" s="1"/>
  <c r="G8" i="25"/>
  <c r="F8" i="25"/>
  <c r="E8" i="25"/>
  <c r="D8" i="25"/>
  <c r="C8" i="25"/>
  <c r="B8" i="25"/>
  <c r="H8" i="25" s="1"/>
  <c r="I8" i="25" s="1"/>
  <c r="G7" i="25"/>
  <c r="F7" i="25"/>
  <c r="E7" i="25"/>
  <c r="D7" i="25"/>
  <c r="C7" i="25"/>
  <c r="B7" i="25"/>
  <c r="H7" i="25" s="1"/>
  <c r="I7" i="25" s="1"/>
  <c r="K18" i="23"/>
  <c r="J18" i="23"/>
  <c r="I18" i="23"/>
  <c r="H18" i="23"/>
  <c r="G18" i="23"/>
  <c r="F18" i="23"/>
  <c r="E18" i="23"/>
  <c r="D18" i="23"/>
  <c r="C18" i="23"/>
  <c r="B18" i="23"/>
  <c r="A18" i="23"/>
  <c r="B11" i="23"/>
  <c r="C10" i="23"/>
  <c r="C11" i="23" s="1"/>
  <c r="B10" i="23"/>
  <c r="G437" i="22"/>
  <c r="F14" i="24" s="1"/>
  <c r="G436" i="22"/>
  <c r="G435" i="22"/>
  <c r="G434" i="22"/>
  <c r="G433" i="22"/>
  <c r="G432" i="22"/>
  <c r="G430" i="22"/>
  <c r="G429" i="22"/>
  <c r="F13" i="24" s="1"/>
  <c r="G428" i="22"/>
  <c r="G427" i="22"/>
  <c r="G426" i="22"/>
  <c r="G425" i="22"/>
  <c r="G424" i="22"/>
  <c r="G422" i="22"/>
  <c r="G421" i="22"/>
  <c r="F12" i="24" s="1"/>
  <c r="G420" i="22"/>
  <c r="G419" i="22"/>
  <c r="G416" i="22"/>
  <c r="G414" i="22"/>
  <c r="G413" i="22"/>
  <c r="F11" i="24" s="1"/>
  <c r="G412" i="22"/>
  <c r="G411" i="22"/>
  <c r="G410" i="22"/>
  <c r="G409" i="22"/>
  <c r="G408" i="22"/>
  <c r="G407" i="22"/>
  <c r="G406" i="22"/>
  <c r="G405" i="22"/>
  <c r="F10" i="24" s="1"/>
  <c r="G404" i="22"/>
  <c r="G403" i="22"/>
  <c r="G402" i="22"/>
  <c r="G401" i="22"/>
  <c r="G400" i="22"/>
  <c r="G399" i="22"/>
  <c r="G398" i="22"/>
  <c r="G397" i="22"/>
  <c r="F9" i="24" s="1"/>
  <c r="F16" i="24" s="1"/>
  <c r="G396" i="22"/>
  <c r="G395" i="22"/>
  <c r="G394" i="22"/>
  <c r="G393" i="22"/>
  <c r="G392" i="22"/>
  <c r="G389" i="22"/>
  <c r="E14" i="24" s="1"/>
  <c r="G388" i="22"/>
  <c r="G387" i="22"/>
  <c r="G386" i="22"/>
  <c r="G385" i="22"/>
  <c r="G384" i="22"/>
  <c r="G382" i="22"/>
  <c r="G381" i="22"/>
  <c r="E13" i="24" s="1"/>
  <c r="G380" i="22"/>
  <c r="G379" i="22"/>
  <c r="G378" i="22"/>
  <c r="G377" i="22"/>
  <c r="G376" i="22"/>
  <c r="G374" i="22"/>
  <c r="G373" i="22"/>
  <c r="E12" i="24" s="1"/>
  <c r="G372" i="22"/>
  <c r="G371" i="22"/>
  <c r="G368" i="22"/>
  <c r="G366" i="22"/>
  <c r="G365" i="22"/>
  <c r="E11" i="24" s="1"/>
  <c r="G364" i="22"/>
  <c r="G363" i="22"/>
  <c r="G362" i="22"/>
  <c r="G361" i="22"/>
  <c r="G360" i="22"/>
  <c r="G359" i="22"/>
  <c r="G358" i="22"/>
  <c r="G357" i="22"/>
  <c r="E10" i="24" s="1"/>
  <c r="G356" i="22"/>
  <c r="G355" i="22"/>
  <c r="G354" i="22"/>
  <c r="G353" i="22"/>
  <c r="G352" i="22"/>
  <c r="G351" i="22"/>
  <c r="G350" i="22"/>
  <c r="G349" i="22"/>
  <c r="E9" i="24" s="1"/>
  <c r="E16" i="24" s="1"/>
  <c r="G348" i="22"/>
  <c r="G347" i="22"/>
  <c r="G346" i="22"/>
  <c r="G345" i="22"/>
  <c r="G344" i="22"/>
  <c r="G341" i="22"/>
  <c r="G340" i="22"/>
  <c r="G339" i="22"/>
  <c r="G338" i="22"/>
  <c r="G337" i="22"/>
  <c r="G336" i="22"/>
  <c r="G334" i="22"/>
  <c r="G333" i="22"/>
  <c r="G332" i="22"/>
  <c r="G331" i="22"/>
  <c r="G330" i="22"/>
  <c r="G329" i="22"/>
  <c r="G328" i="22"/>
  <c r="G326" i="22"/>
  <c r="G325" i="22"/>
  <c r="G324" i="22"/>
  <c r="G323" i="22"/>
  <c r="G320" i="22"/>
  <c r="G318" i="22"/>
  <c r="G317" i="22"/>
  <c r="G316" i="22"/>
  <c r="G315" i="22"/>
  <c r="G314" i="22"/>
  <c r="G313" i="22"/>
  <c r="G312" i="22"/>
  <c r="G311" i="22"/>
  <c r="G310" i="22"/>
  <c r="G309" i="22"/>
  <c r="G308" i="22"/>
  <c r="G307" i="22"/>
  <c r="G306" i="22"/>
  <c r="G305" i="22"/>
  <c r="G304" i="22"/>
  <c r="G303" i="22"/>
  <c r="G302" i="22"/>
  <c r="G301" i="22"/>
  <c r="G300" i="22"/>
  <c r="G299" i="22"/>
  <c r="G298" i="22"/>
  <c r="G297" i="22"/>
  <c r="G296" i="22"/>
  <c r="G293" i="22"/>
  <c r="C14" i="24" s="1"/>
  <c r="G292" i="22"/>
  <c r="G291" i="22"/>
  <c r="G290" i="22"/>
  <c r="G289" i="22"/>
  <c r="G288" i="22"/>
  <c r="G286" i="22"/>
  <c r="G285" i="22"/>
  <c r="C13" i="24" s="1"/>
  <c r="G284" i="22"/>
  <c r="G283" i="22"/>
  <c r="G282" i="22"/>
  <c r="G281" i="22"/>
  <c r="G280" i="22"/>
  <c r="G278" i="22"/>
  <c r="G277" i="22"/>
  <c r="C12" i="24" s="1"/>
  <c r="G276" i="22"/>
  <c r="G275" i="22"/>
  <c r="G272" i="22"/>
  <c r="G270" i="22"/>
  <c r="G269" i="22"/>
  <c r="C11" i="24" s="1"/>
  <c r="G268" i="22"/>
  <c r="G267" i="22"/>
  <c r="G266" i="22"/>
  <c r="G265" i="22"/>
  <c r="G264" i="22"/>
  <c r="G263" i="22"/>
  <c r="G262" i="22"/>
  <c r="G261" i="22"/>
  <c r="C10" i="24" s="1"/>
  <c r="G260" i="22"/>
  <c r="G259" i="22"/>
  <c r="G258" i="22"/>
  <c r="G257" i="22"/>
  <c r="G256" i="22"/>
  <c r="G255" i="22"/>
  <c r="G254" i="22"/>
  <c r="G253" i="22"/>
  <c r="C9" i="24" s="1"/>
  <c r="C16" i="24" s="1"/>
  <c r="G252" i="22"/>
  <c r="G251" i="22"/>
  <c r="G250" i="22"/>
  <c r="G249" i="22"/>
  <c r="G248" i="22"/>
  <c r="G245" i="22"/>
  <c r="B14" i="24" s="1"/>
  <c r="G244" i="22"/>
  <c r="G243" i="22"/>
  <c r="G242" i="22"/>
  <c r="G241" i="22"/>
  <c r="G240" i="22"/>
  <c r="G238" i="22"/>
  <c r="G237" i="22"/>
  <c r="B13" i="24" s="1"/>
  <c r="G236" i="22"/>
  <c r="G235" i="22"/>
  <c r="G234" i="22"/>
  <c r="G233" i="22"/>
  <c r="G232" i="22"/>
  <c r="G230" i="22"/>
  <c r="G229" i="22"/>
  <c r="B12" i="24" s="1"/>
  <c r="G228" i="22"/>
  <c r="G227" i="22"/>
  <c r="G224" i="22"/>
  <c r="G222" i="22"/>
  <c r="G221" i="22"/>
  <c r="B11" i="24" s="1"/>
  <c r="G220" i="22"/>
  <c r="G219" i="22"/>
  <c r="G218" i="22"/>
  <c r="G217" i="22"/>
  <c r="G216" i="22"/>
  <c r="G215" i="22"/>
  <c r="G214" i="22"/>
  <c r="G213" i="22"/>
  <c r="B10" i="24" s="1"/>
  <c r="G212" i="22"/>
  <c r="G211" i="22"/>
  <c r="G210" i="22"/>
  <c r="G209" i="22"/>
  <c r="G208" i="22"/>
  <c r="G207" i="22"/>
  <c r="G206" i="22"/>
  <c r="G205" i="22"/>
  <c r="B9" i="24" s="1"/>
  <c r="G204" i="22"/>
  <c r="G203" i="22"/>
  <c r="G202" i="22"/>
  <c r="G201" i="22"/>
  <c r="G200" i="22"/>
  <c r="G199" i="22"/>
  <c r="G198" i="22"/>
  <c r="G197" i="22"/>
  <c r="G196" i="22"/>
  <c r="G195" i="22"/>
  <c r="G194" i="22"/>
  <c r="G193" i="22"/>
  <c r="G192" i="22"/>
  <c r="G191" i="22"/>
  <c r="G190" i="22"/>
  <c r="G189" i="22"/>
  <c r="G188" i="22"/>
  <c r="G187" i="22"/>
  <c r="G186" i="22"/>
  <c r="G185" i="22"/>
  <c r="G184" i="22"/>
  <c r="G183" i="22"/>
  <c r="G182" i="22"/>
  <c r="G181" i="22"/>
  <c r="G180" i="22"/>
  <c r="G179" i="22"/>
  <c r="G178" i="22"/>
  <c r="G177" i="22"/>
  <c r="G176" i="22"/>
  <c r="G175" i="22"/>
  <c r="G174" i="22"/>
  <c r="G173" i="22"/>
  <c r="G172" i="22"/>
  <c r="G171" i="22"/>
  <c r="G170" i="22"/>
  <c r="G169" i="22"/>
  <c r="G168" i="22"/>
  <c r="G167" i="22"/>
  <c r="G166" i="22"/>
  <c r="G165" i="22"/>
  <c r="G164" i="22"/>
  <c r="G163" i="22"/>
  <c r="G162" i="22"/>
  <c r="G161" i="22"/>
  <c r="G160" i="22"/>
  <c r="G159" i="22"/>
  <c r="G158" i="22"/>
  <c r="G157" i="22"/>
  <c r="G156" i="22"/>
  <c r="G155" i="22"/>
  <c r="G154" i="22"/>
  <c r="G153" i="22"/>
  <c r="G152" i="22"/>
  <c r="G151" i="22"/>
  <c r="G150" i="22"/>
  <c r="G149" i="22"/>
  <c r="G148" i="22"/>
  <c r="G147" i="22"/>
  <c r="G146" i="22"/>
  <c r="G145" i="22"/>
  <c r="G144" i="22"/>
  <c r="G143" i="22"/>
  <c r="G142" i="22"/>
  <c r="G141" i="22"/>
  <c r="G140" i="22"/>
  <c r="G139" i="22"/>
  <c r="G138" i="22"/>
  <c r="G137" i="22"/>
  <c r="G136" i="22"/>
  <c r="G135" i="22"/>
  <c r="G134" i="22"/>
  <c r="G133" i="22"/>
  <c r="G132" i="22"/>
  <c r="G131" i="22"/>
  <c r="G130" i="22"/>
  <c r="G129" i="22"/>
  <c r="G128" i="22"/>
  <c r="G127" i="22"/>
  <c r="G126" i="22"/>
  <c r="G125" i="22"/>
  <c r="G124" i="22"/>
  <c r="G123" i="22"/>
  <c r="G122" i="22"/>
  <c r="G121" i="22"/>
  <c r="G120" i="22"/>
  <c r="G119" i="22"/>
  <c r="G118" i="22"/>
  <c r="G117" i="22"/>
  <c r="G116" i="22"/>
  <c r="G115" i="22"/>
  <c r="G114" i="22"/>
  <c r="G113" i="22"/>
  <c r="G112" i="22"/>
  <c r="G111" i="22"/>
  <c r="G110" i="22"/>
  <c r="G109" i="22"/>
  <c r="G108" i="22"/>
  <c r="G107" i="22"/>
  <c r="G106" i="22"/>
  <c r="G105" i="22"/>
  <c r="G104" i="22"/>
  <c r="G103" i="22"/>
  <c r="G102" i="22"/>
  <c r="G101" i="22"/>
  <c r="G100" i="22"/>
  <c r="G99" i="22"/>
  <c r="G98" i="22"/>
  <c r="G97" i="22"/>
  <c r="G96" i="22"/>
  <c r="G95" i="22"/>
  <c r="G94" i="22"/>
  <c r="G93" i="22"/>
  <c r="G92" i="22"/>
  <c r="G91" i="22"/>
  <c r="G90" i="22"/>
  <c r="G89" i="22"/>
  <c r="G88" i="22"/>
  <c r="G87" i="22"/>
  <c r="G86" i="22"/>
  <c r="G85" i="22"/>
  <c r="G84" i="22"/>
  <c r="G83" i="22"/>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L15" i="21"/>
  <c r="K15" i="21"/>
  <c r="J15" i="21"/>
  <c r="I15" i="21"/>
  <c r="H15" i="21"/>
  <c r="L14" i="21"/>
  <c r="K14" i="21"/>
  <c r="J14" i="21"/>
  <c r="I14" i="21"/>
  <c r="H14" i="21"/>
  <c r="L13" i="21"/>
  <c r="K13" i="21"/>
  <c r="J13" i="21"/>
  <c r="I13" i="21"/>
  <c r="H13" i="21"/>
  <c r="L12" i="21"/>
  <c r="K12" i="21"/>
  <c r="J12" i="21"/>
  <c r="I12" i="21"/>
  <c r="H12" i="21"/>
  <c r="L11" i="21"/>
  <c r="K11" i="21"/>
  <c r="J11" i="21"/>
  <c r="I11" i="21"/>
  <c r="H11" i="21"/>
  <c r="L10" i="21"/>
  <c r="K10" i="21"/>
  <c r="J10" i="21"/>
  <c r="I10" i="21"/>
  <c r="H10" i="21"/>
  <c r="M10" i="21" s="1"/>
  <c r="A10" i="21"/>
  <c r="K7" i="19"/>
  <c r="I7" i="19"/>
  <c r="G7" i="19"/>
  <c r="E7" i="19"/>
  <c r="C7" i="19"/>
  <c r="A7" i="19"/>
  <c r="F12" i="17"/>
  <c r="E12" i="17"/>
  <c r="D12" i="17"/>
  <c r="C12" i="17"/>
  <c r="B12" i="17"/>
  <c r="F11" i="17"/>
  <c r="E11" i="17"/>
  <c r="D11" i="17"/>
  <c r="C11" i="17"/>
  <c r="B11" i="17"/>
  <c r="F10" i="17"/>
  <c r="E10" i="17"/>
  <c r="D10" i="17"/>
  <c r="C10" i="17"/>
  <c r="B10" i="17"/>
  <c r="F9" i="17"/>
  <c r="E9" i="17"/>
  <c r="D9" i="17"/>
  <c r="C9" i="17"/>
  <c r="B9" i="17"/>
  <c r="F8" i="17"/>
  <c r="E8" i="17"/>
  <c r="D8" i="17"/>
  <c r="C8" i="17"/>
  <c r="B8" i="17"/>
  <c r="F7" i="17"/>
  <c r="E7" i="17"/>
  <c r="D7" i="17"/>
  <c r="C7" i="17"/>
  <c r="B7" i="17"/>
  <c r="G7" i="17" s="1"/>
  <c r="J14" i="16"/>
  <c r="I14" i="16"/>
  <c r="J13" i="16"/>
  <c r="I13" i="16"/>
  <c r="J12" i="16"/>
  <c r="I12" i="16"/>
  <c r="J11" i="16"/>
  <c r="I11" i="16"/>
  <c r="J10" i="16"/>
  <c r="I10" i="16"/>
  <c r="J9" i="16"/>
  <c r="I9" i="16"/>
  <c r="I8" i="16"/>
  <c r="I7" i="16"/>
  <c r="I6" i="16"/>
  <c r="E22" i="15"/>
  <c r="F22" i="15" s="1"/>
  <c r="E21" i="15"/>
  <c r="F21" i="15" s="1"/>
  <c r="E20" i="15"/>
  <c r="F20" i="15" s="1"/>
  <c r="E19" i="15"/>
  <c r="F19" i="15" s="1"/>
  <c r="E18" i="15"/>
  <c r="F18" i="15" s="1"/>
  <c r="E17" i="15"/>
  <c r="F17" i="15" s="1"/>
  <c r="E16" i="15"/>
  <c r="F16" i="15" s="1"/>
  <c r="E15" i="15"/>
  <c r="F15" i="15" s="1"/>
  <c r="E14" i="15"/>
  <c r="F14" i="15" s="1"/>
  <c r="E13" i="15"/>
  <c r="F13" i="15" s="1"/>
  <c r="E12" i="15"/>
  <c r="F12" i="15" s="1"/>
  <c r="E11" i="15"/>
  <c r="F11" i="15" s="1"/>
  <c r="E10" i="15"/>
  <c r="F10" i="15" s="1"/>
  <c r="E9" i="15"/>
  <c r="F9" i="15" s="1"/>
  <c r="E8" i="15"/>
  <c r="F8" i="15" s="1"/>
  <c r="E7" i="15"/>
  <c r="F7" i="15" s="1"/>
  <c r="E6" i="15"/>
  <c r="F6" i="15" s="1"/>
  <c r="E5" i="15"/>
  <c r="F5" i="15" s="1"/>
  <c r="F16" i="14"/>
  <c r="E16" i="14"/>
  <c r="D16" i="14"/>
  <c r="C16" i="14"/>
  <c r="B16" i="14"/>
  <c r="F15" i="14"/>
  <c r="E15" i="14"/>
  <c r="D15" i="14"/>
  <c r="C15" i="14"/>
  <c r="B15" i="14"/>
  <c r="F14" i="14"/>
  <c r="E14" i="14"/>
  <c r="D14" i="14"/>
  <c r="C14" i="14"/>
  <c r="B14" i="14"/>
  <c r="F13" i="14"/>
  <c r="E13" i="14"/>
  <c r="D13" i="14"/>
  <c r="C13" i="14"/>
  <c r="B13" i="14"/>
  <c r="F12" i="14"/>
  <c r="E12" i="14"/>
  <c r="D12" i="14"/>
  <c r="C12" i="14"/>
  <c r="B12" i="14"/>
  <c r="F11" i="14"/>
  <c r="E11" i="14"/>
  <c r="D11" i="14"/>
  <c r="C11" i="14"/>
  <c r="B11" i="14"/>
  <c r="F10" i="14"/>
  <c r="E10" i="14"/>
  <c r="D10" i="14"/>
  <c r="C10" i="14"/>
  <c r="B10" i="14"/>
  <c r="F9" i="14"/>
  <c r="E9" i="14"/>
  <c r="D9" i="14"/>
  <c r="C9" i="14"/>
  <c r="B9" i="14"/>
  <c r="F8" i="14"/>
  <c r="E8" i="14"/>
  <c r="D8" i="14"/>
  <c r="C8" i="14"/>
  <c r="B8" i="14"/>
  <c r="F7" i="14"/>
  <c r="E7" i="14"/>
  <c r="D7" i="14"/>
  <c r="C7" i="14"/>
  <c r="B7" i="14"/>
  <c r="F6" i="14"/>
  <c r="E6" i="14"/>
  <c r="D6" i="14"/>
  <c r="C6" i="14"/>
  <c r="B6" i="14"/>
  <c r="F5" i="14"/>
  <c r="E5" i="14"/>
  <c r="D5" i="14"/>
  <c r="C5" i="14"/>
  <c r="B5" i="14"/>
  <c r="F16" i="13"/>
  <c r="E16" i="13"/>
  <c r="D16" i="13"/>
  <c r="C16" i="13"/>
  <c r="B16" i="13"/>
  <c r="F15" i="13"/>
  <c r="E15" i="13"/>
  <c r="D15" i="13"/>
  <c r="C15" i="13"/>
  <c r="B15" i="13"/>
  <c r="F14" i="13"/>
  <c r="E14" i="13"/>
  <c r="D14" i="13"/>
  <c r="C14" i="13"/>
  <c r="B14" i="13"/>
  <c r="F13" i="13"/>
  <c r="E13" i="13"/>
  <c r="D13" i="13"/>
  <c r="C13" i="13"/>
  <c r="B13" i="13"/>
  <c r="F12" i="13"/>
  <c r="E12" i="13"/>
  <c r="D12" i="13"/>
  <c r="C12" i="13"/>
  <c r="B12" i="13"/>
  <c r="F11" i="13"/>
  <c r="E11" i="13"/>
  <c r="D11" i="13"/>
  <c r="C11" i="13"/>
  <c r="B11" i="13"/>
  <c r="F10" i="13"/>
  <c r="E10" i="13"/>
  <c r="D10" i="13"/>
  <c r="C10" i="13"/>
  <c r="B10" i="13"/>
  <c r="F9" i="13"/>
  <c r="E9" i="13"/>
  <c r="D9" i="13"/>
  <c r="C9" i="13"/>
  <c r="B9" i="13"/>
  <c r="F8" i="13"/>
  <c r="E8" i="13"/>
  <c r="D8" i="13"/>
  <c r="C8" i="13"/>
  <c r="B8" i="13"/>
  <c r="F7" i="13"/>
  <c r="E7" i="13"/>
  <c r="D7" i="13"/>
  <c r="C7" i="13"/>
  <c r="B7" i="13"/>
  <c r="F6" i="13"/>
  <c r="E6" i="13"/>
  <c r="D6" i="13"/>
  <c r="C6" i="13"/>
  <c r="B6" i="13"/>
  <c r="F5" i="13"/>
  <c r="E5" i="13"/>
  <c r="D5" i="13"/>
  <c r="C5" i="13"/>
  <c r="B5" i="13"/>
  <c r="F25" i="12"/>
  <c r="E25" i="12"/>
  <c r="D25" i="12"/>
  <c r="C25" i="12"/>
  <c r="B25" i="12"/>
  <c r="F24" i="12"/>
  <c r="E24" i="12"/>
  <c r="D24" i="12"/>
  <c r="C24" i="12"/>
  <c r="B24" i="12"/>
  <c r="F23" i="12"/>
  <c r="E23" i="12"/>
  <c r="D23" i="12"/>
  <c r="C23" i="12"/>
  <c r="B23" i="12"/>
  <c r="F22" i="12"/>
  <c r="E22" i="12"/>
  <c r="D22" i="12"/>
  <c r="C22" i="12"/>
  <c r="B22" i="12"/>
  <c r="F21" i="12"/>
  <c r="E21" i="12"/>
  <c r="D21" i="12"/>
  <c r="C21" i="12"/>
  <c r="B21" i="12"/>
  <c r="F20" i="12"/>
  <c r="E20" i="12"/>
  <c r="D20" i="12"/>
  <c r="C20" i="12"/>
  <c r="B20" i="12"/>
  <c r="F19" i="12"/>
  <c r="E19" i="12"/>
  <c r="D19" i="12"/>
  <c r="C19" i="12"/>
  <c r="B19" i="12"/>
  <c r="F18" i="12"/>
  <c r="E18" i="12"/>
  <c r="D18" i="12"/>
  <c r="C18" i="12"/>
  <c r="B18" i="12"/>
  <c r="F17" i="12"/>
  <c r="E17" i="12"/>
  <c r="D17" i="12"/>
  <c r="C17" i="12"/>
  <c r="B17" i="12"/>
  <c r="F16" i="12"/>
  <c r="E16" i="12"/>
  <c r="D16" i="12"/>
  <c r="C16" i="12"/>
  <c r="B16" i="12"/>
  <c r="F15" i="12"/>
  <c r="E15" i="12"/>
  <c r="D15" i="12"/>
  <c r="C15" i="12"/>
  <c r="B15" i="12"/>
  <c r="F14" i="12"/>
  <c r="E14" i="12"/>
  <c r="D14" i="12"/>
  <c r="C14" i="12"/>
  <c r="B14" i="12"/>
  <c r="F13" i="12"/>
  <c r="E13" i="12"/>
  <c r="D13" i="12"/>
  <c r="C13" i="12"/>
  <c r="B13" i="12"/>
  <c r="F12" i="12"/>
  <c r="E12" i="12"/>
  <c r="D12" i="12"/>
  <c r="C12" i="12"/>
  <c r="B12" i="12"/>
  <c r="F11" i="12"/>
  <c r="E11" i="12"/>
  <c r="D11" i="12"/>
  <c r="C11" i="12"/>
  <c r="B11" i="12"/>
  <c r="F10" i="12"/>
  <c r="E10" i="12"/>
  <c r="D10" i="12"/>
  <c r="C10" i="12"/>
  <c r="B10" i="12"/>
  <c r="F9" i="12"/>
  <c r="E9" i="12"/>
  <c r="D9" i="12"/>
  <c r="C9" i="12"/>
  <c r="B9" i="12"/>
  <c r="F8" i="12"/>
  <c r="E8" i="12"/>
  <c r="D8" i="12"/>
  <c r="C8" i="12"/>
  <c r="B8" i="12"/>
  <c r="F7" i="12"/>
  <c r="E7" i="12"/>
  <c r="D7" i="12"/>
  <c r="C7" i="12"/>
  <c r="B7" i="12"/>
  <c r="F6" i="12"/>
  <c r="E6" i="12"/>
  <c r="D6" i="12"/>
  <c r="C6" i="12"/>
  <c r="B6" i="12"/>
  <c r="F5" i="12"/>
  <c r="E5" i="12"/>
  <c r="D5" i="12"/>
  <c r="C5" i="12"/>
  <c r="B5" i="12"/>
  <c r="D19" i="11"/>
  <c r="C19" i="11"/>
  <c r="B19" i="11"/>
  <c r="D18" i="11"/>
  <c r="C18" i="11"/>
  <c r="B18" i="11"/>
  <c r="D17" i="11"/>
  <c r="C17" i="11"/>
  <c r="B17" i="11"/>
  <c r="D16" i="11"/>
  <c r="C16" i="11"/>
  <c r="B16" i="11"/>
  <c r="D15" i="11"/>
  <c r="C15" i="11"/>
  <c r="B15" i="11"/>
  <c r="D14" i="11"/>
  <c r="C14" i="11"/>
  <c r="B14" i="11"/>
  <c r="D13" i="11"/>
  <c r="C13" i="11"/>
  <c r="B13" i="11"/>
  <c r="D12" i="11"/>
  <c r="C12" i="11"/>
  <c r="B12" i="11"/>
  <c r="D11" i="11"/>
  <c r="C11" i="11"/>
  <c r="B11" i="11"/>
  <c r="D10" i="11"/>
  <c r="C10" i="11"/>
  <c r="B10" i="11"/>
  <c r="D9" i="11"/>
  <c r="C9" i="11"/>
  <c r="B9" i="11"/>
  <c r="D8" i="11"/>
  <c r="C8" i="11"/>
  <c r="B8" i="11"/>
  <c r="D7" i="11"/>
  <c r="C7" i="11"/>
  <c r="B7" i="11"/>
  <c r="D6" i="11"/>
  <c r="C6" i="11"/>
  <c r="B6" i="11"/>
  <c r="D5" i="11"/>
  <c r="C5" i="11"/>
  <c r="B5" i="11"/>
  <c r="G8" i="17" l="1"/>
  <c r="G9" i="17"/>
  <c r="G10" i="17"/>
  <c r="G11" i="17"/>
  <c r="G12" i="17"/>
  <c r="D10" i="21"/>
  <c r="C10" i="21"/>
  <c r="B10" i="21"/>
  <c r="M11" i="21"/>
  <c r="M12" i="21"/>
  <c r="M13" i="21"/>
  <c r="M14" i="21"/>
  <c r="M15" i="21"/>
  <c r="B16" i="24"/>
  <c r="D9" i="24"/>
  <c r="O26" i="23"/>
  <c r="D10" i="24"/>
  <c r="O27" i="23"/>
  <c r="D11" i="24"/>
  <c r="O28" i="23"/>
  <c r="D12" i="24"/>
  <c r="O29" i="23"/>
  <c r="D13" i="24"/>
  <c r="O30" i="23"/>
  <c r="D14" i="24"/>
  <c r="O31" i="23"/>
  <c r="P31" i="23" s="1"/>
  <c r="B15" i="23"/>
  <c r="B13" i="23"/>
  <c r="B12" i="23"/>
  <c r="B14" i="23"/>
  <c r="H14" i="24" l="1"/>
  <c r="G14" i="24"/>
  <c r="P30" i="23"/>
  <c r="H13" i="24"/>
  <c r="G13" i="24"/>
  <c r="P29" i="23"/>
  <c r="H12" i="24"/>
  <c r="G12" i="24"/>
  <c r="P28" i="23"/>
  <c r="H11" i="24"/>
  <c r="G11" i="24"/>
  <c r="P27" i="23"/>
  <c r="H10" i="24"/>
  <c r="G10" i="24"/>
  <c r="P26" i="23"/>
  <c r="D16" i="24"/>
  <c r="G16" i="24" s="1"/>
  <c r="H9" i="24"/>
  <c r="G9" i="24"/>
  <c r="E10" i="21"/>
  <c r="C26" i="23" l="1" a="1"/>
  <c r="B26" i="23" a="1"/>
  <c r="B31" i="23" l="1"/>
  <c r="B30" i="23"/>
  <c r="B29" i="23"/>
  <c r="B28" i="23"/>
  <c r="B27" i="23"/>
  <c r="B26" i="23"/>
  <c r="C31" i="23"/>
  <c r="C30" i="23"/>
  <c r="C29" i="23"/>
  <c r="C28" i="23"/>
  <c r="C27" i="23"/>
  <c r="C26" i="23"/>
</calcChain>
</file>

<file path=xl/sharedStrings.xml><?xml version="1.0" encoding="utf-8"?>
<sst xmlns="http://schemas.openxmlformats.org/spreadsheetml/2006/main" count="4561" uniqueCount="851">
  <si>
    <t>ROYAL BANK OF CANADA — BANKING FINANCIAL ANALYSIS</t>
  </si>
  <si>
    <t>Financial Performance, Credit Risk and Capital Adequacy Analysis</t>
  </si>
  <si>
    <t>Company</t>
  </si>
  <si>
    <t>Royal Bank of Canada</t>
  </si>
  <si>
    <t>Ticker</t>
  </si>
  <si>
    <t>RY</t>
  </si>
  <si>
    <t>Industry</t>
  </si>
  <si>
    <t>Banking and Financial Services</t>
  </si>
  <si>
    <t>Reporting Period</t>
  </si>
  <si>
    <t>FY2023–FY2025 and Q1 2024–Q2 2026</t>
  </si>
  <si>
    <t>Reporting Currency</t>
  </si>
  <si>
    <t>Canadian dollars</t>
  </si>
  <si>
    <t>Reporting Unit</t>
  </si>
  <si>
    <t>CAD millions unless otherwise stated</t>
  </si>
  <si>
    <t>Reporting Framework</t>
  </si>
  <si>
    <t>IFRS</t>
  </si>
  <si>
    <t>Prepared By</t>
  </si>
  <si>
    <t>Neha R K</t>
  </si>
  <si>
    <t>Project Type</t>
  </si>
  <si>
    <t>Independent Finance and Accounting Portfolio Project</t>
  </si>
  <si>
    <t>Project Status</t>
  </si>
  <si>
    <t>Completed</t>
  </si>
  <si>
    <t>Data Cutoff</t>
  </si>
  <si>
    <t>April 30, 2026</t>
  </si>
  <si>
    <t>Purpose</t>
  </si>
  <si>
    <t>Evaluate RBC’s profitability, operating efficiency, credit quality, business-segment performance, regulatory capital and liquidity using publicly available annual and quarterly disclosures.</t>
  </si>
  <si>
    <t>Disclaimer</t>
  </si>
  <si>
    <t>This independent educational portfolio project is based solely on publicly available information published by Royal Bank of Canada. It is not affiliated with, sponsored by, or endorsed by RBC and does not constitute investment, accounting, tax, legal, or financial advice.</t>
  </si>
  <si>
    <t>ADVANCED EXCEL REVIEW</t>
  </si>
  <si>
    <t>Review Sheet 22 for XLOOKUP, LET, IFS, FILTER, SORTBY, RANK.EQ and sparklines. Review Sheet 23 for the normalized Excel Table used as a PivotTable source. Review Sheet 24 for the interactive SUMIFS-driven pivot-style management summary.</t>
  </si>
  <si>
    <t>PROJECT CHARTER</t>
  </si>
  <si>
    <t>Project Overview</t>
  </si>
  <si>
    <t>Field</t>
  </si>
  <si>
    <t>Content</t>
  </si>
  <si>
    <t>Project Title</t>
  </si>
  <si>
    <t>Royal Bank of Canada Financial Performance, Credit Risk and Capital Adequacy Analysis</t>
  </si>
  <si>
    <t>Analysis Period</t>
  </si>
  <si>
    <t>Primary Tool</t>
  </si>
  <si>
    <t>Microsoft Excel</t>
  </si>
  <si>
    <t>Project Objective</t>
  </si>
  <si>
    <t>The objective of this project is to evaluate Royal Bank of Canada’s financial performance, operating efficiency, credit-risk profile, business-segment performance and regulatory capital position using publicly available annual and quarterly disclosures. The project converts complex banking information into a structured Excel model, analytical dashboard and professional financial report.</t>
  </si>
  <si>
    <t>Business Questions</t>
  </si>
  <si>
    <t>1</t>
  </si>
  <si>
    <t>Is RBC generating sustainable revenue and earnings growth?</t>
  </si>
  <si>
    <t>2</t>
  </si>
  <si>
    <t>How are net interest income and non-interest income changing?</t>
  </si>
  <si>
    <t>3</t>
  </si>
  <si>
    <t>Are operating expenses growing faster or slower than revenue?</t>
  </si>
  <si>
    <t>4</t>
  </si>
  <si>
    <t>How has return on equity changed?</t>
  </si>
  <si>
    <t>5</t>
  </si>
  <si>
    <t>Is credit quality strengthening or deteriorating?</t>
  </si>
  <si>
    <t>6</t>
  </si>
  <si>
    <t>How have provisions for credit losses and impaired loans changed?</t>
  </si>
  <si>
    <t>7</t>
  </si>
  <si>
    <t>Does RBC maintain strong regulatory capital and liquidity?</t>
  </si>
  <si>
    <t>8</t>
  </si>
  <si>
    <t>Which business segments contribute most to revenue and net income?</t>
  </si>
  <si>
    <t>9</t>
  </si>
  <si>
    <t>What strengths and risks are visible in the latest results?</t>
  </si>
  <si>
    <t>Intended Audience</t>
  </si>
  <si>
    <t>Project Deliverables</t>
  </si>
  <si>
    <t>Junior Financial Analyst</t>
  </si>
  <si>
    <t>Excel financial-analysis model</t>
  </si>
  <si>
    <t>Financial Reporting Analyst</t>
  </si>
  <si>
    <t>Banking KPI and ratio analysis</t>
  </si>
  <si>
    <t>Accounting Analyst</t>
  </si>
  <si>
    <t>Credit-risk analysis</t>
  </si>
  <si>
    <t>Banking Analyst</t>
  </si>
  <si>
    <t>Capital and liquidity analysis</t>
  </si>
  <si>
    <t>Credit Analyst</t>
  </si>
  <si>
    <t>Segment-performance analysis</t>
  </si>
  <si>
    <t>Risk Analyst</t>
  </si>
  <si>
    <t>Executive dashboard</t>
  </si>
  <si>
    <t>Finance Operations</t>
  </si>
  <si>
    <t>Professional financial report</t>
  </si>
  <si>
    <t>New-Graduate Finance Programs</t>
  </si>
  <si>
    <t>Methodology and source documentation</t>
  </si>
  <si>
    <t>ADVANCED EXCEL CAPABILITIES DEMONSTRATED</t>
  </si>
  <si>
    <t>Feature</t>
  </si>
  <si>
    <t>Portfolio Evidence</t>
  </si>
  <si>
    <t>Excel Tables</t>
  </si>
  <si>
    <t>RBC_Annual_Performance, RBC_Quarterly_Performance, RBC_Segment_Results and RBC_Pivot_Source</t>
  </si>
  <si>
    <t>XLOOKUP</t>
  </si>
  <si>
    <t>Interactive KPI retrieval by selected period and metric</t>
  </si>
  <si>
    <t>LET and IFS</t>
  </si>
  <si>
    <t>Readable period-comparison logic and metric-aware performance assessment</t>
  </si>
  <si>
    <t>FILTER and SORTBY</t>
  </si>
  <si>
    <t>Dynamic segment ranking that recalculates from dropdown selections</t>
  </si>
  <si>
    <t>SUMIFS and RANK.EQ</t>
  </si>
  <si>
    <t>Pivot-style segment matrix, totals and rankings</t>
  </si>
  <si>
    <t>Data Validation, Conditional Formatting and Sparklines</t>
  </si>
  <si>
    <t>Interactive controls, heat maps, data bars and compact trend visualization</t>
  </si>
  <si>
    <t>SOURCE REGISTER</t>
  </si>
  <si>
    <t>Source ID</t>
  </si>
  <si>
    <t>File Name</t>
  </si>
  <si>
    <t>Document Type</t>
  </si>
  <si>
    <t>Main Information Used</t>
  </si>
  <si>
    <t>Format</t>
  </si>
  <si>
    <t>Status</t>
  </si>
  <si>
    <t>Page / Table</t>
  </si>
  <si>
    <t>Source URL</t>
  </si>
  <si>
    <t>Notes</t>
  </si>
  <si>
    <t>AR-25</t>
  </si>
  <si>
    <t>RBC_2025_Annual_Report.pdf</t>
  </si>
  <si>
    <t>FY2025</t>
  </si>
  <si>
    <t>Audited Annual Report</t>
  </si>
  <si>
    <t>Annual statements, notes, MD&amp;A and accounting policies</t>
  </si>
  <si>
    <t>PDF</t>
  </si>
  <si>
    <t>Validated</t>
  </si>
  <si>
    <t>https://www.rbc.com/investor-relations/financial-information.html</t>
  </si>
  <si>
    <t>Used in completed model; detailed source mapping is included in raw-data schedules</t>
  </si>
  <si>
    <t>SUP-25Q4-PDF</t>
  </si>
  <si>
    <t>RBC_Q4_2025_Financial_Supplement.pdf</t>
  </si>
  <si>
    <t>Q4/FY2025</t>
  </si>
  <si>
    <t>Financial Supplement</t>
  </si>
  <si>
    <t>Annual and quarterly financial schedules</t>
  </si>
  <si>
    <t>SUP-25Q4-XLS</t>
  </si>
  <si>
    <t>RBC_Q4_2025_Financial_Supplement.xlsx</t>
  </si>
  <si>
    <t>Extractable annual and quarterly data</t>
  </si>
  <si>
    <t>Excel</t>
  </si>
  <si>
    <t>QR-26Q2</t>
  </si>
  <si>
    <t>RBC_Q2_2026_Report_to_Shareholders.pdf</t>
  </si>
  <si>
    <t>Q2 2026</t>
  </si>
  <si>
    <t>Interim Report</t>
  </si>
  <si>
    <t>Latest results, MD&amp;A and statements</t>
  </si>
  <si>
    <t>SUP-26Q2-PDF</t>
  </si>
  <si>
    <t>RBC_Q2_2026_Financial_Supplement.pdf</t>
  </si>
  <si>
    <t>Quarterly trends, segments, credit and capital</t>
  </si>
  <si>
    <t>SUP-26Q2-XLS</t>
  </si>
  <si>
    <t>RBC_Q2_2026_Financial_Supplement.xlsx</t>
  </si>
  <si>
    <t>Extractable quarterly data</t>
  </si>
  <si>
    <t>P3-26Q2-PDF</t>
  </si>
  <si>
    <t>RBC_Q2_2026_Pillar_3_Disclosure.pdf</t>
  </si>
  <si>
    <t>Regulatory Disclosure</t>
  </si>
  <si>
    <t>Capital, RWA and risk exposure</t>
  </si>
  <si>
    <t>P3-26Q2-XLS</t>
  </si>
  <si>
    <t>RBC_Q2_2026_Pillar_3_Quantitative_Tables.xlsx</t>
  </si>
  <si>
    <t>Regulatory Tables</t>
  </si>
  <si>
    <t>Capital and regulatory-risk data</t>
  </si>
  <si>
    <t>PR-26Q2</t>
  </si>
  <si>
    <t>RBC_Q2_2026_Earnings_Release.pdf</t>
  </si>
  <si>
    <t>Earnings Release</t>
  </si>
  <si>
    <t>Executive financial highlights</t>
  </si>
  <si>
    <t>BANKING DEFINITIONS</t>
  </si>
  <si>
    <t>Term</t>
  </si>
  <si>
    <t>Abbreviation</t>
  </si>
  <si>
    <t>Working Definition</t>
  </si>
  <si>
    <t>Why It Matters</t>
  </si>
  <si>
    <t>Primary Source</t>
  </si>
  <si>
    <t>Net Interest Income</t>
  </si>
  <si>
    <t>NII</t>
  </si>
  <si>
    <t>Interest income earned less interest expense</t>
  </si>
  <si>
    <t>Core banking revenue and sensitivity to rates, loan growth and funding costs</t>
  </si>
  <si>
    <t>RBC Annual / Quarterly Reports</t>
  </si>
  <si>
    <t>Non-Interest Income</t>
  </si>
  <si>
    <t>—</t>
  </si>
  <si>
    <t>Revenue from fees, trading, insurance and other non-interest activities</t>
  </si>
  <si>
    <t>Shows diversification beyond lending spreads</t>
  </si>
  <si>
    <t>RBC Financial Supplement</t>
  </si>
  <si>
    <t>Provision for Credit Losses</t>
  </si>
  <si>
    <t>PCL</t>
  </si>
  <si>
    <t>Expense recognized for expected credit losses</t>
  </si>
  <si>
    <t>Directly affects earnings and signals expected credit deterioration</t>
  </si>
  <si>
    <t>RBC Reports and Supplement</t>
  </si>
  <si>
    <t>Allowance for Credit Losses</t>
  </si>
  <si>
    <t>ACL</t>
  </si>
  <si>
    <t>Balance-sheet reserve against expected credit losses</t>
  </si>
  <si>
    <t>Indicates reserves available to absorb expected loan losses</t>
  </si>
  <si>
    <t>Gross Impaired Loans</t>
  </si>
  <si>
    <t>GIL</t>
  </si>
  <si>
    <t>Loans identified as credit-impaired</t>
  </si>
  <si>
    <t>Measures the stock of problem loans</t>
  </si>
  <si>
    <t>Common Equity Tier 1 Ratio</t>
  </si>
  <si>
    <t>CET1</t>
  </si>
  <si>
    <t>Highest-quality regulatory capital relative to risk-weighted assets</t>
  </si>
  <si>
    <t>Key measure of loss-absorbing capital strength</t>
  </si>
  <si>
    <t>RBC Pillar 3</t>
  </si>
  <si>
    <t>Risk-Weighted Assets</t>
  </si>
  <si>
    <t>RWA</t>
  </si>
  <si>
    <t>Assets weighted according to regulatory risk</t>
  </si>
  <si>
    <t>Denominator for regulatory capital ratios</t>
  </si>
  <si>
    <t>Return on Equity</t>
  </si>
  <si>
    <t>ROE</t>
  </si>
  <si>
    <t>Net income available to common shareholders relative to common equity</t>
  </si>
  <si>
    <t>Measures profitability generated from shareholder capital</t>
  </si>
  <si>
    <t>Efficiency Ratio</t>
  </si>
  <si>
    <t>Non-interest expense divided by total revenue</t>
  </si>
  <si>
    <t>Lower values generally indicate better operating efficiency</t>
  </si>
  <si>
    <t>Operating Leverage</t>
  </si>
  <si>
    <t>Revenue growth minus expense growth</t>
  </si>
  <si>
    <t>Shows whether revenue is growing faster than costs</t>
  </si>
  <si>
    <t>RBC Reports</t>
  </si>
  <si>
    <t>Liquidity Coverage Ratio</t>
  </si>
  <si>
    <t>LCR</t>
  </si>
  <si>
    <t>High-quality liquid assets relative to projected short-term cash outflows</t>
  </si>
  <si>
    <t>Assesses short-term liquidity resilience</t>
  </si>
  <si>
    <t>RBC Pillar 3 / Liquidity Disclosure</t>
  </si>
  <si>
    <t>Net Stable Funding Ratio</t>
  </si>
  <si>
    <t>NSFR</t>
  </si>
  <si>
    <t>Available stable funding relative to required stable funding</t>
  </si>
  <si>
    <t>Assesses structural funding stability over a one-year horizon</t>
  </si>
  <si>
    <t>Net Write-Offs</t>
  </si>
  <si>
    <t>NWO</t>
  </si>
  <si>
    <t>Loans written off, net of recoveries</t>
  </si>
  <si>
    <t>Measures realized credit losses</t>
  </si>
  <si>
    <t>Pre-Provision, Pre-Tax Earnings</t>
  </si>
  <si>
    <t>PPPT</t>
  </si>
  <si>
    <t>Earnings before provisions for credit losses and income taxes</t>
  </si>
  <si>
    <t>Separates operating earnings from credit and tax effects</t>
  </si>
  <si>
    <t>Reported Results</t>
  </si>
  <si>
    <t>Financial results presented under IFRS without management adjustments</t>
  </si>
  <si>
    <t>Primary basis for the dashboard and ratio analysis</t>
  </si>
  <si>
    <t>Adjusted Results</t>
  </si>
  <si>
    <t>Management-defined results excluding specified items</t>
  </si>
  <si>
    <t>Useful supplementary view but must not be mixed with reported figures</t>
  </si>
  <si>
    <t>RAW ANNUAL PERFORMANCE</t>
  </si>
  <si>
    <t>Metric</t>
  </si>
  <si>
    <t>Unit</t>
  </si>
  <si>
    <t>FY2023</t>
  </si>
  <si>
    <t>FY2024</t>
  </si>
  <si>
    <t>CAD millions</t>
  </si>
  <si>
    <t>SUP-24Q4-XLS / SUP-25Q4-XLS</t>
  </si>
  <si>
    <t>Statements of Income – Page 5, annual columns</t>
  </si>
  <si>
    <t>Reported annual result; CAD millions</t>
  </si>
  <si>
    <t>Total Revenue</t>
  </si>
  <si>
    <t>Non-Interest Expense</t>
  </si>
  <si>
    <t>Income Before Income Taxes</t>
  </si>
  <si>
    <t>Income Taxes</t>
  </si>
  <si>
    <t>Net Income</t>
  </si>
  <si>
    <t>Net Income Available to Common Shareholders</t>
  </si>
  <si>
    <t>Diluted EPS</t>
  </si>
  <si>
    <t>CAD per share</t>
  </si>
  <si>
    <t>Financial Highlights – Page 2, annual columns</t>
  </si>
  <si>
    <t>Reported annual result; CAD per common share</t>
  </si>
  <si>
    <t>%</t>
  </si>
  <si>
    <t>RBC-reported ratio</t>
  </si>
  <si>
    <t>PPPT Earnings</t>
  </si>
  <si>
    <t>Model Calculation</t>
  </si>
  <si>
    <t>Calculated from Statements of Income</t>
  </si>
  <si>
    <t>Formula: Income before tax + PCL</t>
  </si>
  <si>
    <t>Effective Tax Rate</t>
  </si>
  <si>
    <t>Formula: Income taxes ÷ Income before tax</t>
  </si>
  <si>
    <t>RAW QUARTERLY PERFORMANCE</t>
  </si>
  <si>
    <t>Q1 2024</t>
  </si>
  <si>
    <t>Q2 2024</t>
  </si>
  <si>
    <t>Q3 2024</t>
  </si>
  <si>
    <t>Q4 2024</t>
  </si>
  <si>
    <t>Q1 2025</t>
  </si>
  <si>
    <t>Q2 2025</t>
  </si>
  <si>
    <t>Q3 2025</t>
  </si>
  <si>
    <t>Q4 2025</t>
  </si>
  <si>
    <t>Q1 2026</t>
  </si>
  <si>
    <t>SUP-24Q4-XLS / SUP-25Q4-XLS / SUP-26Q2-XLS</t>
  </si>
  <si>
    <t>Financial Highlights Page 2 / Statements of Income Page 5</t>
  </si>
  <si>
    <t>Single-quarter reported values; PPPT and tax rate are model calculations where applicable</t>
  </si>
  <si>
    <t>RAW BALANCE SHEET</t>
  </si>
  <si>
    <t>Total Assets</t>
  </si>
  <si>
    <t>Balance Sheets Page 15; Loans Page 21</t>
  </si>
  <si>
    <t>Period-end reported balances</t>
  </si>
  <si>
    <t>Cash and Due from Banks</t>
  </si>
  <si>
    <t>Interest-bearing Deposits with Banks</t>
  </si>
  <si>
    <t>Securities</t>
  </si>
  <si>
    <t>Loans, Gross</t>
  </si>
  <si>
    <t>Allowance for Loan Losses</t>
  </si>
  <si>
    <t>Loans, Net of Allowance</t>
  </si>
  <si>
    <t>Residential Mortgages</t>
  </si>
  <si>
    <t>Personal Loans</t>
  </si>
  <si>
    <t>Credit Cards</t>
  </si>
  <si>
    <t>Business and Government Loans</t>
  </si>
  <si>
    <t>Other Assets</t>
  </si>
  <si>
    <t>Deposits</t>
  </si>
  <si>
    <t>Personal Deposits</t>
  </si>
  <si>
    <t>Business and Government Deposits</t>
  </si>
  <si>
    <t>Bank Deposits</t>
  </si>
  <si>
    <t>Other Liabilities</t>
  </si>
  <si>
    <t>Subordinated Debentures</t>
  </si>
  <si>
    <t>Common Shareholders' Equity</t>
  </si>
  <si>
    <t>Total Equity</t>
  </si>
  <si>
    <t>Loans and Acceptances</t>
  </si>
  <si>
    <t>RAW CREDIT QUALITY</t>
  </si>
  <si>
    <t>Total PCL</t>
  </si>
  <si>
    <t>Credit Quality Pages 22, 25, 27 and 29</t>
  </si>
  <si>
    <t>Reported amount</t>
  </si>
  <si>
    <t>PCL on Performing Loans</t>
  </si>
  <si>
    <t>PCL on Impaired Loans</t>
  </si>
  <si>
    <t>PCL on Loans Ratio</t>
  </si>
  <si>
    <t>Reported ratio; quarterly ratios are annualized where RBC presents them</t>
  </si>
  <si>
    <t>GIL Ratio</t>
  </si>
  <si>
    <t>ACL on Performing Loans</t>
  </si>
  <si>
    <t>ACL on Impaired Loans</t>
  </si>
  <si>
    <t>ACL-to-Loans Ratio</t>
  </si>
  <si>
    <t>Stage 3 ACL / GIL</t>
  </si>
  <si>
    <t>Net Write-Off Ratio</t>
  </si>
  <si>
    <t>Corrected to RBC-reported FY2023 annual net write-off ratio of 0.14%</t>
  </si>
  <si>
    <t>RAW CAPITAL AND LIQUIDITY</t>
  </si>
  <si>
    <t>CET1 Capital</t>
  </si>
  <si>
    <t>AR-25 / SUP-26Q2-XLS / P3-26Q2-XLS</t>
  </si>
  <si>
    <t>Capital Pages 19–20; Annual Report liquidity pages 96–99; Pillar 3 KM1</t>
  </si>
  <si>
    <t>Blank where a comparable period was not consistently collected</t>
  </si>
  <si>
    <t>Tier 1 Capital</t>
  </si>
  <si>
    <t>Total Capital</t>
  </si>
  <si>
    <t>Total Risk-Weighted Assets</t>
  </si>
  <si>
    <t>CET1 Ratio</t>
  </si>
  <si>
    <t>Tier 1 Capital Ratio</t>
  </si>
  <si>
    <t>Total Capital Ratio</t>
  </si>
  <si>
    <t>Leverage Ratio</t>
  </si>
  <si>
    <t>FY2024–FY2025 are annual average LCRs; Q1–Q2 2026 are quarterly average LCRs</t>
  </si>
  <si>
    <t>FY2024–FY2025 are annual average NSFRs; Q1–Q2 2026 are quarter-end NSFRs</t>
  </si>
  <si>
    <t>Dividends Per Common Share</t>
  </si>
  <si>
    <t>Annual dividends declared per share for FY2023–FY2025; quarterly declarations for Q1–Q2 2026</t>
  </si>
  <si>
    <t>RAW SEGMENT RESULTS</t>
  </si>
  <si>
    <t>Period</t>
  </si>
  <si>
    <t>Segment</t>
  </si>
  <si>
    <t>Personal Banking</t>
  </si>
  <si>
    <t>Verified against the relevant RBC segment schedule; TEB presentation applies to Capital Markets and Corporate Support</t>
  </si>
  <si>
    <t>Commercial Banking</t>
  </si>
  <si>
    <t>Wealth Management</t>
  </si>
  <si>
    <t>Insurance</t>
  </si>
  <si>
    <t>Capital Markets</t>
  </si>
  <si>
    <t>Corporate Support</t>
  </si>
  <si>
    <t>STANDARDIZED PERFORMANCE</t>
  </si>
  <si>
    <t>STANDARDIZED BALANCE SHEET</t>
  </si>
  <si>
    <t>STANDARDIZED CREDIT RISK</t>
  </si>
  <si>
    <t>STANDARDIZED CAPITAL AND LIQUIDITY</t>
  </si>
  <si>
    <t>BANKING KPI ANALYSIS</t>
  </si>
  <si>
    <t>KPI</t>
  </si>
  <si>
    <t>FY23–FY25 Change</t>
  </si>
  <si>
    <t>Assessment</t>
  </si>
  <si>
    <t>Trend Meaning</t>
  </si>
  <si>
    <t>Analyst Note</t>
  </si>
  <si>
    <t>Higher is generally better</t>
  </si>
  <si>
    <t>Revenue increased strongly, supported by growth across RBC’s diversified businesses and the inclusion of HSBC Canada after March 2024.</t>
  </si>
  <si>
    <t>Net income rose materially through FY2025, demonstrating stronger earnings capacity despite higher credit costs.</t>
  </si>
  <si>
    <t>EPS growth outpaced net income growth, supporting stronger per-share profitability.</t>
  </si>
  <si>
    <t>ROE improved to 16.3% in FY2025, above FY2023 and FY2024 levels.</t>
  </si>
  <si>
    <t>Lower is generally better</t>
  </si>
  <si>
    <t>The ratio improved to 54.9% in FY2025; the decline indicates stronger expense efficiency.</t>
  </si>
  <si>
    <t>Operating leverage moved from negative in FY2023 to strongly positive in FY2025 as revenue growth exceeded expense growth.</t>
  </si>
  <si>
    <t>Pre-provision, pre-tax earnings expanded significantly, showing stronger core earnings before credit costs.</t>
  </si>
  <si>
    <t>PCL rose sharply over the three-year period, indicating a more normalized and challenging credit cycle.</t>
  </si>
  <si>
    <t>The ratio increased from 29 bps to 43 bps, signalling higher credit costs relative to average loans.</t>
  </si>
  <si>
    <t>Impaired loans increased substantially, with deterioration concentrated across selected wholesale and retail portfolios.</t>
  </si>
  <si>
    <t>The GIL ratio nearly doubled from FY2023 to FY2025, a key risk to monitor.</t>
  </si>
  <si>
    <t>ACL increased alongside credit deterioration, strengthening the reserve available for expected losses.</t>
  </si>
  <si>
    <t>CET1 remained strong at 13.5% in FY2025, although below the unusually high FY2023 level.</t>
  </si>
  <si>
    <t>The total capital ratio remained robust and above regulatory requirements.</t>
  </si>
  <si>
    <t>FY2025 LCR of 127% remained above the 100% regulatory minimum.</t>
  </si>
  <si>
    <t>Loan growth supported revenue but also increased credit exposure and capital requirements.</t>
  </si>
  <si>
    <t>Deposit growth provided a larger and stable funding base.</t>
  </si>
  <si>
    <t>Loan-to-Deposit Ratio</t>
  </si>
  <si>
    <t>The consolidated loan-to-deposit ratio remained below 1.0x, indicating deposits exceeded gross loans and acceptances.</t>
  </si>
  <si>
    <t>QUARTERLY TREND ANALYSIS</t>
  </si>
  <si>
    <t>Quarter</t>
  </si>
  <si>
    <t>QoQ Net Income</t>
  </si>
  <si>
    <t>YoY Net Income</t>
  </si>
  <si>
    <t>Quarterly Analyst Commentary</t>
  </si>
  <si>
    <t>Q2 2026 net income of $5.509 billion increased 25% year over year but declined 5% from Q1 2026. The year-over-year improvement reflected growth across all business segments and lower provisions on performing loans. The quarter-over-quarter decline reflected lower results in Wealth Management, Personal Banking and Commercial Banking, partly offset by stronger Capital Markets and Insurance. Total PCL declined to $912 million and the PCL-on-loans ratio improved to 35 bps, while ROE remained strong at 17.2%.</t>
  </si>
  <si>
    <t>SEGMENT ANALYSIS</t>
  </si>
  <si>
    <t>Selected Period</t>
  </si>
  <si>
    <t>Revenue Share</t>
  </si>
  <si>
    <t>Largest domestic earnings contributor; benefits from scale and strong client franchise.</t>
  </si>
  <si>
    <t>Strong margins and efficient cost base, but credit quality remains cyclical.</t>
  </si>
  <si>
    <t>Fee-based growth and market appreciation support revenue; earnings are market-sensitive.</t>
  </si>
  <si>
    <t>Smaller but capital-efficient earnings contributor with results sensitive to actuarial and market assumptions.</t>
  </si>
  <si>
    <t>Diversified fee and trading revenue, with higher earnings volatility and market-risk exposure.</t>
  </si>
  <si>
    <t>Includes treasury, technology, functions and consolidation items; results may be negative and volatile.</t>
  </si>
  <si>
    <t>DASHBOARD DATA — AUDITED</t>
  </si>
  <si>
    <t>Latest KPI (Q2 2026)</t>
  </si>
  <si>
    <t>Value</t>
  </si>
  <si>
    <t>PCL Ratio</t>
  </si>
  <si>
    <t>FY2025 Revenue</t>
  </si>
  <si>
    <t>FY2025 Net Income</t>
  </si>
  <si>
    <t>RBC FINANCIAL PERFORMANCE, CREDIT RISK &amp; CAPITAL DASHBOARD</t>
  </si>
  <si>
    <t>FY2023–FY2025 Annual Analysis | Quarterly Trends through Q2 2026 | CAD millions unless stated</t>
  </si>
  <si>
    <t>Key Financial Insights</t>
  </si>
  <si>
    <t>• FY2025 revenue reached $66.6 billion, an increase of 29.4% from FY2023; net income rose 39.4% to $20.4 billion.
• Profitability improved: diluted EPS reached $14.07, ROE increased to 16.3%, and the efficiency ratio improved to 54.9%.
• Credit risk increased through FY2025: total PCL rose to $4.36 billion and the GIL ratio reached 0.83%.
• Q2 2026 remained profitable with $5.51 billion of net income and 17.2% ROE. PCL improved to $912 million and 35 bps.
• Capital and liquidity remained resilient: CET1 was 13.5%, total capital was 16.9%, LCR was 126%, and NSFR was 111%.</t>
  </si>
  <si>
    <t>ANALYST COMMENTARY</t>
  </si>
  <si>
    <t>Executive Summary</t>
  </si>
  <si>
    <t>RBC delivered strong earnings growth through FY2025 and maintained robust profitability into Q2 2026. FY2025 revenue increased to $66.6 billion and net income to $20.4 billion, supported by diversified contributions from Personal Banking, Commercial Banking, Wealth Management and Capital Markets. ROE improved to 16.3% and the efficiency ratio declined to 54.9%, indicating stronger operating productivity. Credit risk, however, moved higher through FY2025 as PCL and impaired loans increased. Q2 2026 showed an improvement in quarterly credit costs, while capital and liquidity remained above regulatory requirements.</t>
  </si>
  <si>
    <t>Financial Performance</t>
  </si>
  <si>
    <t>Revenue grew 29.4% between FY2023 and FY2025, while net income increased 39.4%. Diluted EPS rose from $10.32 to $14.07, and PPPT earnings increased from $20.7 billion to $30.0 billion. Positive operating leverage of 9.3% in FY2025 and a lower efficiency ratio demonstrate that revenue grew faster than non-interest expense. Q2 2026 net income was $5.5 billion, up 25% year over year but down 5% sequentially.</t>
  </si>
  <si>
    <t>Credit Risk</t>
  </si>
  <si>
    <t>Total PCL increased from $2.47 billion in FY2023 to $4.36 billion in FY2025, and the PCL-on-loans ratio increased from 29 bps to 43 bps. Gross impaired loans rose to $8.68 billion and the GIL ratio reached 0.83% in FY2025. RBC increased total ACL to $7.47 billion as reserves expanded with the risk profile. In Q2 2026, total PCL declined to $912 million and the PCL ratio improved to 35 bps, although GIL continued to rise to $9.79 billion.</t>
  </si>
  <si>
    <t>Capital and Liquidity</t>
  </si>
  <si>
    <t>RBC maintained a strong regulatory position. The CET1 ratio was 13.5% at FY2025 and Q2 2026, while the total capital ratio increased to 16.9% in Q2 2026. The Q2 2026 CET1 ratio was lower than Q1 because internal capital generation was more than offset by share repurchases, RWA growth and model updates. The LCR improved to 126% from 124% in Q1 2026 and remained comfortably above the 100% regulatory minimum.</t>
  </si>
  <si>
    <t>Segment Performance</t>
  </si>
  <si>
    <t>Personal Banking remained the largest domestic earnings contributor, while Wealth Management and Capital Markets provided material fee-based and market-linked diversification. Commercial Banking maintained a low efficiency ratio but remained exposed to the credit cycle. Insurance was a smaller but capital-efficient contributor. Capital Markets showed strong Q2 2026 momentum, supported by Global Markets and Corporate &amp; Investment Banking activity.</t>
  </si>
  <si>
    <t>Key Strengths</t>
  </si>
  <si>
    <t>1. Diversified revenue and earnings across banking, wealth, insurance and capital markets.
2. Strong core profitability, with improving ROE and operating efficiency.
3. Robust capital and liquidity ratios above regulatory minimums.</t>
  </si>
  <si>
    <t>Key Risks</t>
  </si>
  <si>
    <t>1. Rising gross impaired loans and higher credit costs compared with FY2023.
2. Sensitivity of Wealth Management and Capital Markets results to markets and foreign exchange.
3. Capital consumption from loan growth, RWA growth, acquisitions and shareholder distributions.</t>
  </si>
  <si>
    <t>Conclusion</t>
  </si>
  <si>
    <t>RBC entered Q2 2026 from a position of strong profitability, diversified earnings and substantial capital strength. The main analytical tension is between accelerating earnings and a more normalized credit cycle. Current capital and liquidity provide meaningful resilience, but impaired-loan trends and credit-loss provisions should remain key monitoring priorities.</t>
  </si>
  <si>
    <t>INTERACTIVE RBC ANALYSIS</t>
  </si>
  <si>
    <t>Control</t>
  </si>
  <si>
    <t>Selection</t>
  </si>
  <si>
    <t>Selected Annual KPI</t>
  </si>
  <si>
    <t>Selected Segment Period</t>
  </si>
  <si>
    <t>Selected Segment Performance</t>
  </si>
  <si>
    <t>Revenue</t>
  </si>
  <si>
    <t>Efficiency</t>
  </si>
  <si>
    <t>Comment</t>
  </si>
  <si>
    <t>Largest domestic banking franchise.</t>
  </si>
  <si>
    <t>Efficient but credit-cycle sensitive.</t>
  </si>
  <si>
    <t>Fee-based and market-sensitive.</t>
  </si>
  <si>
    <t>Smaller, capital-efficient contributor.</t>
  </si>
  <si>
    <t>Strong earnings with market volatility.</t>
  </si>
  <si>
    <t>Treasury and consolidation items.</t>
  </si>
  <si>
    <t>ADVANCED EXCEL FORMULA SHOWCASE</t>
  </si>
  <si>
    <t>Compatible formula layer using INDEX/MATCH, SUMIFS, IFERROR, RANK and COUNTIF. These provide the same analytical outcomes as newer functions while improving workbook compatibility.</t>
  </si>
  <si>
    <t>Function</t>
  </si>
  <si>
    <t>Used In</t>
  </si>
  <si>
    <t>Formula Pattern</t>
  </si>
  <si>
    <t>Selected Quarterly KPI</t>
  </si>
  <si>
    <t>INDEX + MATCH</t>
  </si>
  <si>
    <t>B10</t>
  </si>
  <si>
    <t>=INDEX(data,MATCH(metric,metric_list,0),MATCH(period,period_list,0))</t>
  </si>
  <si>
    <t>Two-way KPI lookup</t>
  </si>
  <si>
    <t>Selected Quarter</t>
  </si>
  <si>
    <t>B11</t>
  </si>
  <si>
    <t>=INDEX(data,MATCH(metric,metric_list,0),MATCH(period,period_list,0)-1)</t>
  </si>
  <si>
    <t>Previous-quarter comparison</t>
  </si>
  <si>
    <t>IFERROR</t>
  </si>
  <si>
    <t>B12:B13</t>
  </si>
  <si>
    <t>=IFERROR(current_value/prior_value-1,"")</t>
  </si>
  <si>
    <t>Clean variance calculations</t>
  </si>
  <si>
    <t>Output</t>
  </si>
  <si>
    <t>Result</t>
  </si>
  <si>
    <t>Unit / Meaning</t>
  </si>
  <si>
    <t>Nested IF</t>
  </si>
  <si>
    <t>B14</t>
  </si>
  <si>
    <t>=IF(lower_is_better,IF(current&lt;prior,"Favourable","Unfavourable"),...)</t>
  </si>
  <si>
    <t>Metric-aware assessment</t>
  </si>
  <si>
    <t>Current Period Value</t>
  </si>
  <si>
    <t>RANK</t>
  </si>
  <si>
    <t>B15</t>
  </si>
  <si>
    <t>=RANK(current_value,quarterly_trend_range,0)</t>
  </si>
  <si>
    <t>Quarterly performance ranking</t>
  </si>
  <si>
    <t>Previous Quarter Value</t>
  </si>
  <si>
    <t>SUMIFS</t>
  </si>
  <si>
    <t>Segment helper</t>
  </si>
  <si>
    <t>=SUMIFS(value_range,period_range,period,segment_range,segment)</t>
  </si>
  <si>
    <t>Multi-criteria aggregation</t>
  </si>
  <si>
    <t>Quarter-over-Quarter Change</t>
  </si>
  <si>
    <t>% change</t>
  </si>
  <si>
    <t>COUNTIF</t>
  </si>
  <si>
    <t>=RANK(value,range,0)+COUNTIF(first_cell:value,value)-1</t>
  </si>
  <si>
    <t>Tie-safe unique ranking</t>
  </si>
  <si>
    <t>Year-over-Year Change</t>
  </si>
  <si>
    <t>Performance Assessment</t>
  </si>
  <si>
    <t>Metric-aware</t>
  </si>
  <si>
    <t>Rank Across 10 Quarters</t>
  </si>
  <si>
    <t>1 = highest</t>
  </si>
  <si>
    <t>Selected KPI Trend</t>
  </si>
  <si>
    <t>Trend</t>
  </si>
  <si>
    <t>Segment Ranking Control</t>
  </si>
  <si>
    <t>Selected Segment Metric</t>
  </si>
  <si>
    <t>Rank</t>
  </si>
  <si>
    <t>Selected Metric Value</t>
  </si>
  <si>
    <t>Segment Helper</t>
  </si>
  <si>
    <t>Metric Value</t>
  </si>
  <si>
    <t>Unique Rank</t>
  </si>
  <si>
    <t>NORMALIZED ANALYSIS DATA — PIVOT SOURCE</t>
  </si>
  <si>
    <t>Formula-linked long-format table for PivotTables, SUMIFS analysis, charts and Power BI import.</t>
  </si>
  <si>
    <t>Analysis Type</t>
  </si>
  <si>
    <t>Period Order</t>
  </si>
  <si>
    <t>Source Sheet</t>
  </si>
  <si>
    <t>Source Cell</t>
  </si>
  <si>
    <t>Consolidated Annual</t>
  </si>
  <si>
    <t>Total RBC</t>
  </si>
  <si>
    <t>05_Raw_Annual_Performance</t>
  </si>
  <si>
    <t>C5</t>
  </si>
  <si>
    <t>D5</t>
  </si>
  <si>
    <t>E5</t>
  </si>
  <si>
    <t>C6</t>
  </si>
  <si>
    <t>D6</t>
  </si>
  <si>
    <t>E6</t>
  </si>
  <si>
    <t>C7</t>
  </si>
  <si>
    <t>D7</t>
  </si>
  <si>
    <t>E7</t>
  </si>
  <si>
    <t>C8</t>
  </si>
  <si>
    <t>D8</t>
  </si>
  <si>
    <t>E8</t>
  </si>
  <si>
    <t>C9</t>
  </si>
  <si>
    <t>D9</t>
  </si>
  <si>
    <t>E9</t>
  </si>
  <si>
    <t>C10</t>
  </si>
  <si>
    <t>D10</t>
  </si>
  <si>
    <t>E10</t>
  </si>
  <si>
    <t>C11</t>
  </si>
  <si>
    <t>D11</t>
  </si>
  <si>
    <t>E11</t>
  </si>
  <si>
    <t>C12</t>
  </si>
  <si>
    <t>D12</t>
  </si>
  <si>
    <t>E12</t>
  </si>
  <si>
    <t>C13</t>
  </si>
  <si>
    <t>D13</t>
  </si>
  <si>
    <t>E13</t>
  </si>
  <si>
    <t>C14</t>
  </si>
  <si>
    <t>D14</t>
  </si>
  <si>
    <t>E14</t>
  </si>
  <si>
    <t>C15</t>
  </si>
  <si>
    <t>D15</t>
  </si>
  <si>
    <t>E15</t>
  </si>
  <si>
    <t>C16</t>
  </si>
  <si>
    <t>D16</t>
  </si>
  <si>
    <t>E16</t>
  </si>
  <si>
    <t>C17</t>
  </si>
  <si>
    <t>D17</t>
  </si>
  <si>
    <t>E17</t>
  </si>
  <si>
    <t>C18</t>
  </si>
  <si>
    <t>D18</t>
  </si>
  <si>
    <t>E18</t>
  </si>
  <si>
    <t>C19</t>
  </si>
  <si>
    <t>D19</t>
  </si>
  <si>
    <t>E19</t>
  </si>
  <si>
    <t>Consolidated Quarterly</t>
  </si>
  <si>
    <t>06_Raw_Quarterly_Performance</t>
  </si>
  <si>
    <t>F5</t>
  </si>
  <si>
    <t>G5</t>
  </si>
  <si>
    <t>H5</t>
  </si>
  <si>
    <t>I5</t>
  </si>
  <si>
    <t>J5</t>
  </si>
  <si>
    <t>K5</t>
  </si>
  <si>
    <t>L5</t>
  </si>
  <si>
    <t>F6</t>
  </si>
  <si>
    <t>G6</t>
  </si>
  <si>
    <t>H6</t>
  </si>
  <si>
    <t>I6</t>
  </si>
  <si>
    <t>J6</t>
  </si>
  <si>
    <t>K6</t>
  </si>
  <si>
    <t>L6</t>
  </si>
  <si>
    <t>F7</t>
  </si>
  <si>
    <t>G7</t>
  </si>
  <si>
    <t>H7</t>
  </si>
  <si>
    <t>I7</t>
  </si>
  <si>
    <t>J7</t>
  </si>
  <si>
    <t>K7</t>
  </si>
  <si>
    <t>L7</t>
  </si>
  <si>
    <t>F8</t>
  </si>
  <si>
    <t>G8</t>
  </si>
  <si>
    <t>H8</t>
  </si>
  <si>
    <t>I8</t>
  </si>
  <si>
    <t>J8</t>
  </si>
  <si>
    <t>K8</t>
  </si>
  <si>
    <t>L8</t>
  </si>
  <si>
    <t>F9</t>
  </si>
  <si>
    <t>G9</t>
  </si>
  <si>
    <t>H9</t>
  </si>
  <si>
    <t>I9</t>
  </si>
  <si>
    <t>J9</t>
  </si>
  <si>
    <t>K9</t>
  </si>
  <si>
    <t>L9</t>
  </si>
  <si>
    <t>F10</t>
  </si>
  <si>
    <t>G10</t>
  </si>
  <si>
    <t>H10</t>
  </si>
  <si>
    <t>I10</t>
  </si>
  <si>
    <t>J10</t>
  </si>
  <si>
    <t>K10</t>
  </si>
  <si>
    <t>L10</t>
  </si>
  <si>
    <t>F11</t>
  </si>
  <si>
    <t>G11</t>
  </si>
  <si>
    <t>H11</t>
  </si>
  <si>
    <t>I11</t>
  </si>
  <si>
    <t>J11</t>
  </si>
  <si>
    <t>K11</t>
  </si>
  <si>
    <t>L11</t>
  </si>
  <si>
    <t>F12</t>
  </si>
  <si>
    <t>G12</t>
  </si>
  <si>
    <t>H12</t>
  </si>
  <si>
    <t>I12</t>
  </si>
  <si>
    <t>J12</t>
  </si>
  <si>
    <t>K12</t>
  </si>
  <si>
    <t>L12</t>
  </si>
  <si>
    <t>F13</t>
  </si>
  <si>
    <t>G13</t>
  </si>
  <si>
    <t>H13</t>
  </si>
  <si>
    <t>I13</t>
  </si>
  <si>
    <t>J13</t>
  </si>
  <si>
    <t>K13</t>
  </si>
  <si>
    <t>L13</t>
  </si>
  <si>
    <t>F14</t>
  </si>
  <si>
    <t>G14</t>
  </si>
  <si>
    <t>H14</t>
  </si>
  <si>
    <t>I14</t>
  </si>
  <si>
    <t>J14</t>
  </si>
  <si>
    <t>K14</t>
  </si>
  <si>
    <t>L14</t>
  </si>
  <si>
    <t>F15</t>
  </si>
  <si>
    <t>G15</t>
  </si>
  <si>
    <t>H15</t>
  </si>
  <si>
    <t>I15</t>
  </si>
  <si>
    <t>J15</t>
  </si>
  <si>
    <t>K15</t>
  </si>
  <si>
    <t>L15</t>
  </si>
  <si>
    <t>F16</t>
  </si>
  <si>
    <t>G16</t>
  </si>
  <si>
    <t>H16</t>
  </si>
  <si>
    <t>I16</t>
  </si>
  <si>
    <t>J16</t>
  </si>
  <si>
    <t>K16</t>
  </si>
  <si>
    <t>L16</t>
  </si>
  <si>
    <t>F17</t>
  </si>
  <si>
    <t>G17</t>
  </si>
  <si>
    <t>H17</t>
  </si>
  <si>
    <t>I17</t>
  </si>
  <si>
    <t>J17</t>
  </si>
  <si>
    <t>K17</t>
  </si>
  <si>
    <t>L17</t>
  </si>
  <si>
    <t>F18</t>
  </si>
  <si>
    <t>G18</t>
  </si>
  <si>
    <t>H18</t>
  </si>
  <si>
    <t>I18</t>
  </si>
  <si>
    <t>J18</t>
  </si>
  <si>
    <t>K18</t>
  </si>
  <si>
    <t>L18</t>
  </si>
  <si>
    <t>F19</t>
  </si>
  <si>
    <t>G19</t>
  </si>
  <si>
    <t>H19</t>
  </si>
  <si>
    <t>I19</t>
  </si>
  <si>
    <t>J19</t>
  </si>
  <si>
    <t>K19</t>
  </si>
  <si>
    <t>L19</t>
  </si>
  <si>
    <t>10_Raw_Segment_Results</t>
  </si>
  <si>
    <t>C20</t>
  </si>
  <si>
    <t>D20</t>
  </si>
  <si>
    <t>E20</t>
  </si>
  <si>
    <t>F20</t>
  </si>
  <si>
    <t>G20</t>
  </si>
  <si>
    <t>H20</t>
  </si>
  <si>
    <t>I20</t>
  </si>
  <si>
    <t>J20</t>
  </si>
  <si>
    <t>C21</t>
  </si>
  <si>
    <t>D21</t>
  </si>
  <si>
    <t>E21</t>
  </si>
  <si>
    <t>F21</t>
  </si>
  <si>
    <t>G21</t>
  </si>
  <si>
    <t>H21</t>
  </si>
  <si>
    <t>I21</t>
  </si>
  <si>
    <t>J21</t>
  </si>
  <si>
    <t>C22</t>
  </si>
  <si>
    <t>D22</t>
  </si>
  <si>
    <t>E22</t>
  </si>
  <si>
    <t>F22</t>
  </si>
  <si>
    <t>G22</t>
  </si>
  <si>
    <t>H22</t>
  </si>
  <si>
    <t>I22</t>
  </si>
  <si>
    <t>J22</t>
  </si>
  <si>
    <t>C23</t>
  </si>
  <si>
    <t>D23</t>
  </si>
  <si>
    <t>E23</t>
  </si>
  <si>
    <t>F23</t>
  </si>
  <si>
    <t>G23</t>
  </si>
  <si>
    <t>H23</t>
  </si>
  <si>
    <t>I23</t>
  </si>
  <si>
    <t>J23</t>
  </si>
  <si>
    <t>C24</t>
  </si>
  <si>
    <t>D24</t>
  </si>
  <si>
    <t>E24</t>
  </si>
  <si>
    <t>F24</t>
  </si>
  <si>
    <t>G24</t>
  </si>
  <si>
    <t>H24</t>
  </si>
  <si>
    <t>I24</t>
  </si>
  <si>
    <t>J24</t>
  </si>
  <si>
    <t>C25</t>
  </si>
  <si>
    <t>D25</t>
  </si>
  <si>
    <t>E25</t>
  </si>
  <si>
    <t>F25</t>
  </si>
  <si>
    <t>G25</t>
  </si>
  <si>
    <t>H25</t>
  </si>
  <si>
    <t>I25</t>
  </si>
  <si>
    <t>J25</t>
  </si>
  <si>
    <t>C26</t>
  </si>
  <si>
    <t>D26</t>
  </si>
  <si>
    <t>E26</t>
  </si>
  <si>
    <t>F26</t>
  </si>
  <si>
    <t>G26</t>
  </si>
  <si>
    <t>H26</t>
  </si>
  <si>
    <t>I26</t>
  </si>
  <si>
    <t>J26</t>
  </si>
  <si>
    <t>C27</t>
  </si>
  <si>
    <t>D27</t>
  </si>
  <si>
    <t>E27</t>
  </si>
  <si>
    <t>F27</t>
  </si>
  <si>
    <t>G27</t>
  </si>
  <si>
    <t>H27</t>
  </si>
  <si>
    <t>I27</t>
  </si>
  <si>
    <t>J27</t>
  </si>
  <si>
    <t>C28</t>
  </si>
  <si>
    <t>D28</t>
  </si>
  <si>
    <t>E28</t>
  </si>
  <si>
    <t>F28</t>
  </si>
  <si>
    <t>G28</t>
  </si>
  <si>
    <t>H28</t>
  </si>
  <si>
    <t>I28</t>
  </si>
  <si>
    <t>J28</t>
  </si>
  <si>
    <t>C29</t>
  </si>
  <si>
    <t>D29</t>
  </si>
  <si>
    <t>E29</t>
  </si>
  <si>
    <t>F29</t>
  </si>
  <si>
    <t>G29</t>
  </si>
  <si>
    <t>H29</t>
  </si>
  <si>
    <t>I29</t>
  </si>
  <si>
    <t>J29</t>
  </si>
  <si>
    <t>C30</t>
  </si>
  <si>
    <t>D30</t>
  </si>
  <si>
    <t>E30</t>
  </si>
  <si>
    <t>F30</t>
  </si>
  <si>
    <t>G30</t>
  </si>
  <si>
    <t>H30</t>
  </si>
  <si>
    <t>I30</t>
  </si>
  <si>
    <t>J30</t>
  </si>
  <si>
    <t>C31</t>
  </si>
  <si>
    <t>D31</t>
  </si>
  <si>
    <t>E31</t>
  </si>
  <si>
    <t>F31</t>
  </si>
  <si>
    <t>G31</t>
  </si>
  <si>
    <t>H31</t>
  </si>
  <si>
    <t>I31</t>
  </si>
  <si>
    <t>J31</t>
  </si>
  <si>
    <t>C32</t>
  </si>
  <si>
    <t>D32</t>
  </si>
  <si>
    <t>E32</t>
  </si>
  <si>
    <t>F32</t>
  </si>
  <si>
    <t>G32</t>
  </si>
  <si>
    <t>H32</t>
  </si>
  <si>
    <t>I32</t>
  </si>
  <si>
    <t>J32</t>
  </si>
  <si>
    <t>C33</t>
  </si>
  <si>
    <t>D33</t>
  </si>
  <si>
    <t>E33</t>
  </si>
  <si>
    <t>F33</t>
  </si>
  <si>
    <t>G33</t>
  </si>
  <si>
    <t>H33</t>
  </si>
  <si>
    <t>I33</t>
  </si>
  <si>
    <t>J33</t>
  </si>
  <si>
    <t>C34</t>
  </si>
  <si>
    <t>D34</t>
  </si>
  <si>
    <t>E34</t>
  </si>
  <si>
    <t>F34</t>
  </si>
  <si>
    <t>G34</t>
  </si>
  <si>
    <t>H34</t>
  </si>
  <si>
    <t>I34</t>
  </si>
  <si>
    <t>J34</t>
  </si>
  <si>
    <t>PIVOT-READY SEGMENT MANAGEMENT SUMMARY</t>
  </si>
  <si>
    <t>Formula-driven summary using the RBC_Pivot_Source Excel Table. A native PivotTable can be inserted from Sheet 23.</t>
  </si>
  <si>
    <t>FY2025 Rank</t>
  </si>
  <si>
    <t>Grand Total / Average</t>
  </si>
  <si>
    <t>HOW TO CREATE A NATIVE PIVOTTABLE</t>
  </si>
  <si>
    <t>Open Sheet 23_Pivot_Source and click inside the RBC_Pivot_Source table.</t>
  </si>
  <si>
    <t>Choose Insert → PivotTable → From Table/Range → New Worksheet.</t>
  </si>
  <si>
    <t>Filters: Analysis Type and Metric.</t>
  </si>
  <si>
    <t>Rows: Segment.</t>
  </si>
  <si>
    <t>Columns: Period.</t>
  </si>
  <si>
    <t>Values: Sum of Value. Change to Average for ROE or Efficiency Ratio.</t>
  </si>
  <si>
    <t>Optional: add slicers for Period, Metric and Analysis Type.</t>
  </si>
  <si>
    <t>RBC MODEL DATA AUDIT &amp; RECONCILIATION</t>
  </si>
  <si>
    <t>The checks below verify arithmetic integrity, period reconciliation and corrected source mappings.</t>
  </si>
  <si>
    <t>Annual Income Statement Reconciliation</t>
  </si>
  <si>
    <t>Check</t>
  </si>
  <si>
    <t>FY2023 Actual</t>
  </si>
  <si>
    <t>FY2023 Expected</t>
  </si>
  <si>
    <t>FY2024 Actual</t>
  </si>
  <si>
    <t>FY2024 Expected</t>
  </si>
  <si>
    <t>FY2025 Actual</t>
  </si>
  <si>
    <t>FY2025 Expected</t>
  </si>
  <si>
    <t>Maximum Difference</t>
  </si>
  <si>
    <t>Explanation</t>
  </si>
  <si>
    <t>Revenue = NII + Non-Interest Income</t>
  </si>
  <si>
    <t>Reported revenue reconciles to its two main components.</t>
  </si>
  <si>
    <t>Pre-tax Income = Revenue - PCL - Expense</t>
  </si>
  <si>
    <t>Pre-tax earnings reconcile to revenue less PCL and non-interest expense.</t>
  </si>
  <si>
    <t>Net Income = Pre-tax Income - Tax</t>
  </si>
  <si>
    <t>Net income reconciles after income tax.</t>
  </si>
  <si>
    <t>PPPT = Pre-tax Income + PCL</t>
  </si>
  <si>
    <t>Model-calculated pre-provision, pre-tax earnings.</t>
  </si>
  <si>
    <t>Business Segment Reconciliation to Consolidated Results</t>
  </si>
  <si>
    <t>Segment Revenue Total</t>
  </si>
  <si>
    <t>Consolidated Revenue</t>
  </si>
  <si>
    <t>Revenue Difference</t>
  </si>
  <si>
    <t>Segment Net Income Total</t>
  </si>
  <si>
    <t>Consolidated Net Income</t>
  </si>
  <si>
    <t>Net Income Difference</t>
  </si>
  <si>
    <t>Revenue Status</t>
  </si>
  <si>
    <t>Income Status</t>
  </si>
  <si>
    <t>Note</t>
  </si>
  <si>
    <t>Segment schedules should reconcile exactly, including Corporate Support.</t>
  </si>
  <si>
    <t>Balance Sheet, Credit and Capital Validation</t>
  </si>
  <si>
    <t>Expected / Threshold</t>
  </si>
  <si>
    <t>Gross Loans - Allowance = Net Loans</t>
  </si>
  <si>
    <t>Checks whether gross loans less allowance equal reported net loans.</t>
  </si>
  <si>
    <t>CET1 Capital / RWA versus Reported CET1</t>
  </si>
  <si>
    <t>Small rounding differences are expected; reported regulatory ratios remain authoritative.</t>
  </si>
  <si>
    <t>Total Capital / RWA versus Reported Total Capital Ratio</t>
  </si>
  <si>
    <t>Tests capital ratio consistency against reported amounts and RWA.</t>
  </si>
  <si>
    <t>Liquidity Ratios Meet 100% Minimum</t>
  </si>
  <si>
    <t>A non-negative value means both LCR and NSFR meet the 100% minimum. FY2023 is not tested.</t>
  </si>
  <si>
    <t>Correction Log from Source Audit</t>
  </si>
  <si>
    <t>Area</t>
  </si>
  <si>
    <t>Original Issue</t>
  </si>
  <si>
    <t>Corrected Value / Treatment</t>
  </si>
  <si>
    <t>Impact</t>
  </si>
  <si>
    <t>Verified</t>
  </si>
  <si>
    <t>Reviewer Note</t>
  </si>
  <si>
    <t>Advanced formulas</t>
  </si>
  <si>
    <t>Newer dynamic-array and lookup functions were not evaluated correctly after export</t>
  </si>
  <si>
    <t>Replaced with INDEX/MATCH, SUMIFS, IFERROR, RANK, COUNTIF and CHOOSE</t>
  </si>
  <si>
    <t>Excel compatibility review</t>
  </si>
  <si>
    <t>Removed visible formula errors</t>
  </si>
  <si>
    <t>Yes</t>
  </si>
  <si>
    <t>The advanced outcomes remain interactive and auditable.</t>
  </si>
  <si>
    <t>Dashboard</t>
  </si>
  <si>
    <t>Amounts and percentages were plotted on the same axis</t>
  </si>
  <si>
    <t>Separated amount charts from ratio charts</t>
  </si>
  <si>
    <t>Model presentation review</t>
  </si>
  <si>
    <t>Ratios are now readable</t>
  </si>
  <si>
    <t>All chart series now share compatible units.</t>
  </si>
  <si>
    <t>Segment results</t>
  </si>
  <si>
    <t>Several FY2025 and Insurance/Corporate Support figures were mapped incorrectly</t>
  </si>
  <si>
    <t>All 30 segment-period rows replaced with exact RBC supplement values</t>
  </si>
  <si>
    <t>RBC Financial Supplements Pages 8–14</t>
  </si>
  <si>
    <t>Corrected segment analysis and charts</t>
  </si>
  <si>
    <t>Segment revenue and net income now reconcile exactly.</t>
  </si>
  <si>
    <t>Credit risk</t>
  </si>
  <si>
    <t>FY2023 net write-off ratio entered as 0.17%</t>
  </si>
  <si>
    <t>Corrected to 0.14%</t>
  </si>
  <si>
    <t>RBC 2025 Annual Report Table 75</t>
  </si>
  <si>
    <t>Corrected historical credit trend</t>
  </si>
  <si>
    <t>Annual reported ratio used.</t>
  </si>
  <si>
    <t>Capital</t>
  </si>
  <si>
    <t>FY2023 RWA entered as 596,200</t>
  </si>
  <si>
    <t>Corrected to 596,223</t>
  </si>
  <si>
    <t>RBC Q4 2024 Financial Supplement Page 20</t>
  </si>
  <si>
    <t>Improved ratio reconciliation</t>
  </si>
  <si>
    <t>Reported amount used.</t>
  </si>
  <si>
    <t>Liquidity</t>
  </si>
  <si>
    <t>Historical LCR/NSFR values were incomplete</t>
  </si>
  <si>
    <t>Added FY2024 128%/114%, FY2025 127%/112%, Q1 2026 124%/111%, Q2 2026 126%/111%</t>
  </si>
  <si>
    <t>RBC 2025 Annual Report and Q2 2026 Report</t>
  </si>
  <si>
    <t>Completed liquidity analysis</t>
  </si>
  <si>
    <t>FY2023 remains blank because it was not collected in this source set.</t>
  </si>
  <si>
    <t>Dividends</t>
  </si>
  <si>
    <t>Q2 2026 dividend per share entered as $1.76</t>
  </si>
  <si>
    <t>Corrected to $1.64</t>
  </si>
  <si>
    <t>RBC Q2 2026 Financial Supplement Page 3</t>
  </si>
  <si>
    <t>Corrected shareholder-return schedule</t>
  </si>
  <si>
    <t>$1.76 was announced later and is not the Q2 2026 declared dividend.</t>
  </si>
  <si>
    <t>RBC Segment Net Income PivotTable</t>
  </si>
  <si>
    <t>Interactive analysis by business segment and reporting period | CAD millions</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</si>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</sst>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0\);\-"/>
    <numFmt numFmtId="165" formatCode="\$0.00;[Red]\(\$0.00\);\-"/>
    <numFmt numFmtId="166" formatCode="0.0%;[Red]\(0.0%\);\-"/>
    <numFmt numFmtId="167" formatCode="0.00\x;[Red]\(0.00\x\);\-"/>
    <numFmt numFmtId="168" formatCode="#,##0.00;[Red]\(#,##0.00\);\-"/>
    <numFmt numFmtId="169" formatCode="_(* #,##0_);_(* \(#,##0\);_(* &quot;-&quot;??_);_(@_)"/>
  </numFmts>
  <fonts count="25">
    <font>
      <sz val="11"/>
      <name val="Carlito"/>
    </font>
    <font>
      <b/>
      <sz val="20"/>
      <color rgb="FFFFFFFF"/>
      <name val="Carlito"/>
    </font>
    <font>
      <b/>
      <sz val="14"/>
      <color rgb="FF1F4E78"/>
      <name val="Carlito"/>
    </font>
    <font>
      <b/>
      <sz val="11"/>
      <color rgb="FF0B1F3A"/>
      <name val="Carlito"/>
    </font>
    <font>
      <b/>
      <sz val="11"/>
      <color rgb="FFFFFFFF"/>
      <name val="Carlito"/>
    </font>
    <font>
      <b/>
      <sz val="18"/>
      <color rgb="FFFFFFFF"/>
      <name val="Carlito"/>
    </font>
    <font>
      <sz val="11"/>
      <color rgb="FF0B1F3A"/>
      <name val="Carlito"/>
    </font>
    <font>
      <sz val="11"/>
      <color rgb="FF0000FF"/>
      <name val="Carlito"/>
    </font>
    <font>
      <sz val="11"/>
      <color rgb="FF008000"/>
      <name val="Carlito"/>
    </font>
    <font>
      <b/>
      <sz val="18"/>
      <color rgb="FF0B1F3A"/>
      <name val="Carlito"/>
    </font>
    <font>
      <sz val="11"/>
      <color theme="10"/>
      <name val="Carlito"/>
    </font>
    <font>
      <b/>
      <sz val="19"/>
      <color rgb="FFFFFFFF"/>
      <name val="Carlito"/>
    </font>
    <font>
      <b/>
      <sz val="16"/>
      <color rgb="FF0B1F3A"/>
      <name val="Carlito"/>
    </font>
    <font>
      <i/>
      <sz val="11"/>
      <color rgb="FF0B1F3A"/>
      <name val="Carlito"/>
    </font>
    <font>
      <sz val="11"/>
      <color rgb="FF404040"/>
      <name val="Carlito"/>
    </font>
    <font>
      <b/>
      <sz val="11"/>
      <color rgb="FF0000FF"/>
      <name val="Carlito"/>
    </font>
    <font>
      <b/>
      <sz val="11"/>
      <color rgb="FF008000"/>
      <name val="Carlito"/>
    </font>
    <font>
      <sz val="9"/>
      <color rgb="FF008000"/>
      <name val="Carlito"/>
    </font>
    <font>
      <sz val="11"/>
      <color rgb="FF000000"/>
      <name val="Carlito"/>
    </font>
    <font>
      <sz val="8"/>
      <color rgb="FF808080"/>
      <name val="Carlito"/>
    </font>
    <font>
      <b/>
      <sz val="10"/>
      <color rgb="FFFFFFFF"/>
      <name val="Carlito"/>
    </font>
    <font>
      <sz val="10"/>
      <color rgb="FF0B1F3A"/>
      <name val="Carlito"/>
    </font>
    <font>
      <b/>
      <sz val="10"/>
      <color rgb="FF0B1F3A"/>
      <name val="Carlito"/>
    </font>
    <font>
      <b/>
      <sz val="12"/>
      <color rgb="FFFFFFFF"/>
      <name val="Carlito"/>
    </font>
    <font>
      <b/>
      <sz val="11"/>
      <name val="Carlito"/>
    </font>
  </fonts>
  <fills count="11">
    <fill>
      <patternFill patternType="none"/>
    </fill>
    <fill>
      <patternFill patternType="gray125"/>
    </fill>
    <fill>
      <patternFill patternType="solid">
        <fgColor rgb="FFE7E6E6"/>
      </patternFill>
    </fill>
    <fill>
      <patternFill patternType="solid">
        <fgColor rgb="FFE2F0D9"/>
      </patternFill>
    </fill>
    <fill>
      <patternFill patternType="solid">
        <fgColor rgb="FF0B1F3A"/>
      </patternFill>
    </fill>
    <fill>
      <patternFill patternType="solid">
        <fgColor rgb="FFD9EAF7"/>
      </patternFill>
    </fill>
    <fill>
      <patternFill patternType="solid">
        <fgColor rgb="FF404040"/>
      </patternFill>
    </fill>
    <fill>
      <patternFill patternType="solid">
        <fgColor rgb="FFEEF5FB"/>
      </patternFill>
    </fill>
    <fill>
      <patternFill patternType="solid">
        <fgColor rgb="FFFFF2CC"/>
      </patternFill>
    </fill>
    <fill>
      <patternFill patternType="solid">
        <fgColor rgb="FF1F4E78"/>
      </patternFill>
    </fill>
    <fill>
      <patternFill patternType="solid">
        <fgColor rgb="FFF2F2F2"/>
      </patternFill>
    </fill>
  </fills>
  <borders count="47">
    <border>
      <left/>
      <right/>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top style="thin">
        <color rgb="FFA6A6A6"/>
      </top>
      <bottom/>
      <diagonal/>
    </border>
    <border>
      <left/>
      <right/>
      <top/>
      <bottom style="thin">
        <color rgb="FFA6A6A6"/>
      </bottom>
      <diagonal/>
    </border>
    <border>
      <left style="thin">
        <color rgb="FFE7E6E6"/>
      </left>
      <right/>
      <top style="thin">
        <color rgb="FFE7E6E6"/>
      </top>
      <bottom/>
      <diagonal/>
    </border>
    <border>
      <left/>
      <right/>
      <top style="thin">
        <color rgb="FFE7E6E6"/>
      </top>
      <bottom/>
      <diagonal/>
    </border>
    <border>
      <left/>
      <right style="thin">
        <color rgb="FFE7E6E6"/>
      </right>
      <top style="thin">
        <color rgb="FFE7E6E6"/>
      </top>
      <bottom/>
      <diagonal/>
    </border>
    <border>
      <left style="thin">
        <color rgb="FFE7E6E6"/>
      </left>
      <right/>
      <top/>
      <bottom/>
      <diagonal/>
    </border>
    <border>
      <left/>
      <right style="thin">
        <color rgb="FFE7E6E6"/>
      </right>
      <top/>
      <bottom/>
      <diagonal/>
    </border>
    <border>
      <left style="thin">
        <color rgb="FFE7E6E6"/>
      </left>
      <right/>
      <top/>
      <bottom style="thin">
        <color rgb="FFE7E6E6"/>
      </bottom>
      <diagonal/>
    </border>
    <border>
      <left/>
      <right/>
      <top/>
      <bottom style="thin">
        <color rgb="FFE7E6E6"/>
      </bottom>
      <diagonal/>
    </border>
    <border>
      <left/>
      <right style="thin">
        <color rgb="FFE7E6E6"/>
      </right>
      <top/>
      <bottom style="thin">
        <color rgb="FFE7E6E6"/>
      </bottom>
      <diagonal/>
    </border>
    <border>
      <left style="thin">
        <color rgb="FFA6A6A6"/>
      </left>
      <right style="thin">
        <color rgb="FFA6A6A6"/>
      </right>
      <top style="thin">
        <color rgb="FFA6A6A6"/>
      </top>
      <bottom style="thin">
        <color rgb="FFA6A6A6"/>
      </bottom>
      <diagonal/>
    </border>
    <border>
      <left style="thin">
        <color rgb="FFE7E6E6"/>
      </left>
      <right style="thin">
        <color rgb="FFE7E6E6"/>
      </right>
      <top style="thin">
        <color rgb="FFE7E6E6"/>
      </top>
      <bottom/>
      <diagonal/>
    </border>
    <border>
      <left style="thin">
        <color rgb="FFE7E6E6"/>
      </left>
      <right style="thin">
        <color rgb="FFE7E6E6"/>
      </right>
      <top/>
      <bottom/>
      <diagonal/>
    </border>
    <border>
      <left style="thin">
        <color rgb="FFE7E6E6"/>
      </left>
      <right style="thin">
        <color rgb="FFE7E6E6"/>
      </right>
      <top/>
      <bottom style="thin">
        <color rgb="FFE7E6E6"/>
      </bottom>
      <diagonal/>
    </border>
    <border>
      <left style="thin">
        <color rgb="FF5B9BD5"/>
      </left>
      <right/>
      <top style="thin">
        <color rgb="FF5B9BD5"/>
      </top>
      <bottom/>
      <diagonal/>
    </border>
    <border>
      <left/>
      <right style="thin">
        <color rgb="FF5B9BD5"/>
      </right>
      <top style="thin">
        <color rgb="FF5B9BD5"/>
      </top>
      <bottom/>
      <diagonal/>
    </border>
    <border>
      <left style="thin">
        <color rgb="FF5B9BD5"/>
      </left>
      <right/>
      <top/>
      <bottom/>
      <diagonal/>
    </border>
    <border>
      <left/>
      <right style="thin">
        <color rgb="FF5B9BD5"/>
      </right>
      <top/>
      <bottom/>
      <diagonal/>
    </border>
    <border>
      <left style="thin">
        <color rgb="FF5B9BD5"/>
      </left>
      <right/>
      <top/>
      <bottom style="thin">
        <color rgb="FF5B9BD5"/>
      </bottom>
      <diagonal/>
    </border>
    <border>
      <left/>
      <right style="thin">
        <color rgb="FF5B9BD5"/>
      </right>
      <top/>
      <bottom style="thin">
        <color rgb="FF5B9BD5"/>
      </bottom>
      <diagonal/>
    </border>
    <border>
      <left style="thin">
        <color rgb="FFA6A6A6"/>
      </left>
      <right style="thin">
        <color rgb="FFA6A6A6"/>
      </right>
      <top/>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E7E6E6"/>
      </left>
      <right/>
      <top style="thin">
        <color rgb="FFE7E6E6"/>
      </top>
      <bottom style="thin">
        <color rgb="FFE7E6E6"/>
      </bottom>
      <diagonal/>
    </border>
    <border>
      <left/>
      <right/>
      <top style="thin">
        <color rgb="FFE7E6E6"/>
      </top>
      <bottom style="thin">
        <color rgb="FFE7E6E6"/>
      </bottom>
      <diagonal/>
    </border>
    <border>
      <left/>
      <right style="thin">
        <color rgb="FFE7E6E6"/>
      </right>
      <top style="thin">
        <color rgb="FFE7E6E6"/>
      </top>
      <bottom style="thin">
        <color rgb="FFE7E6E6"/>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5B9BD5"/>
      </left>
      <right style="thin">
        <color rgb="FF5B9BD5"/>
      </right>
      <top style="thin">
        <color rgb="FF5B9BD5"/>
      </top>
      <bottom/>
      <diagonal/>
    </border>
    <border>
      <left style="thin">
        <color rgb="FF5B9BD5"/>
      </left>
      <right style="thin">
        <color rgb="FF5B9BD5"/>
      </right>
      <top/>
      <bottom/>
      <diagonal/>
    </border>
    <border>
      <left style="thin">
        <color rgb="FF5B9BD5"/>
      </left>
      <right style="thin">
        <color rgb="FF5B9BD5"/>
      </right>
      <top/>
      <bottom style="thin">
        <color rgb="FF5B9BD5"/>
      </bottom>
      <diagonal/>
    </border>
  </borders>
  <cellStyleXfs count="2">
    <xf numFmtId="0" fontId="0" fillId="0" borderId="0"/>
    <xf numFmtId="0" fontId="10" fillId="0" borderId="0" applyNumberFormat="0" applyFill="0" applyBorder="0" applyAlignment="0" applyProtection="0"/>
  </cellStyleXfs>
  <cellXfs count="190">
    <xf numFmtId="0" fontId="0" fillId="0" borderId="0" xfId="0"/>
    <xf numFmtId="0" fontId="6" fillId="3" borderId="0" xfId="0" applyFont="1" applyFill="1"/>
    <xf numFmtId="0" fontId="0" fillId="0" borderId="0" xfId="0" applyAlignment="1">
      <alignment wrapText="1"/>
    </xf>
    <xf numFmtId="0" fontId="8" fillId="0" borderId="12" xfId="0" applyFont="1" applyBorder="1"/>
    <xf numFmtId="0" fontId="8" fillId="0" borderId="14" xfId="0" applyFont="1" applyBorder="1"/>
    <xf numFmtId="0" fontId="8" fillId="0" borderId="15" xfId="0" applyFont="1" applyBorder="1"/>
    <xf numFmtId="0" fontId="8" fillId="0" borderId="16" xfId="0" applyFont="1" applyBorder="1"/>
    <xf numFmtId="0" fontId="8" fillId="0" borderId="17" xfId="0" applyFont="1" applyBorder="1"/>
    <xf numFmtId="0" fontId="8" fillId="0" borderId="19" xfId="0" applyFont="1" applyBorder="1"/>
    <xf numFmtId="164" fontId="8" fillId="0" borderId="0" xfId="0" applyNumberFormat="1" applyFont="1"/>
    <xf numFmtId="164" fontId="8" fillId="0" borderId="13" xfId="0" applyNumberFormat="1" applyFont="1" applyBorder="1"/>
    <xf numFmtId="164" fontId="8" fillId="0" borderId="14" xfId="0" applyNumberFormat="1" applyFont="1" applyBorder="1"/>
    <xf numFmtId="164" fontId="8" fillId="0" borderId="16" xfId="0" applyNumberFormat="1" applyFont="1" applyBorder="1"/>
    <xf numFmtId="165" fontId="8" fillId="0" borderId="0" xfId="0" applyNumberFormat="1" applyFont="1"/>
    <xf numFmtId="165" fontId="8" fillId="0" borderId="16" xfId="0" applyNumberFormat="1" applyFont="1" applyBorder="1"/>
    <xf numFmtId="166" fontId="8" fillId="0" borderId="0" xfId="0" applyNumberFormat="1" applyFont="1"/>
    <xf numFmtId="166" fontId="8" fillId="0" borderId="16" xfId="0" applyNumberFormat="1" applyFont="1" applyBorder="1"/>
    <xf numFmtId="166" fontId="8" fillId="0" borderId="17" xfId="0" applyNumberFormat="1" applyFont="1" applyBorder="1"/>
    <xf numFmtId="166" fontId="8" fillId="0" borderId="18" xfId="0" applyNumberFormat="1" applyFont="1" applyBorder="1"/>
    <xf numFmtId="166" fontId="8" fillId="0" borderId="19" xfId="0" applyNumberFormat="1" applyFont="1" applyBorder="1"/>
    <xf numFmtId="164" fontId="8" fillId="0" borderId="17" xfId="0" applyNumberFormat="1" applyFont="1" applyBorder="1"/>
    <xf numFmtId="164" fontId="8" fillId="0" borderId="18" xfId="0" applyNumberFormat="1" applyFont="1" applyBorder="1"/>
    <xf numFmtId="164" fontId="8" fillId="0" borderId="19" xfId="0" applyNumberFormat="1" applyFont="1" applyBorder="1"/>
    <xf numFmtId="165" fontId="8" fillId="0" borderId="17" xfId="0" applyNumberFormat="1" applyFont="1" applyBorder="1"/>
    <xf numFmtId="165" fontId="8" fillId="0" borderId="18" xfId="0" applyNumberFormat="1" applyFont="1" applyBorder="1"/>
    <xf numFmtId="165" fontId="8" fillId="0" borderId="19" xfId="0" applyNumberFormat="1" applyFont="1" applyBorder="1"/>
    <xf numFmtId="166" fontId="8" fillId="0" borderId="13" xfId="0" applyNumberFormat="1" applyFont="1" applyBorder="1"/>
    <xf numFmtId="166" fontId="8" fillId="0" borderId="14" xfId="0" applyNumberFormat="1" applyFont="1" applyBorder="1"/>
    <xf numFmtId="164" fontId="8" fillId="0" borderId="12" xfId="0" applyNumberFormat="1" applyFont="1" applyBorder="1"/>
    <xf numFmtId="164" fontId="8" fillId="0" borderId="15" xfId="0" applyNumberFormat="1" applyFont="1" applyBorder="1"/>
    <xf numFmtId="165" fontId="8" fillId="0" borderId="15" xfId="0" applyNumberFormat="1" applyFont="1" applyBorder="1"/>
    <xf numFmtId="166" fontId="8" fillId="0" borderId="15" xfId="0" applyNumberFormat="1" applyFont="1" applyBorder="1"/>
    <xf numFmtId="0" fontId="8" fillId="0" borderId="0" xfId="0" applyFont="1"/>
    <xf numFmtId="164" fontId="0" fillId="0" borderId="0" xfId="0" applyNumberFormat="1"/>
    <xf numFmtId="166" fontId="0" fillId="0" borderId="0" xfId="0" applyNumberFormat="1"/>
    <xf numFmtId="167" fontId="0" fillId="0" borderId="0" xfId="0" applyNumberFormat="1"/>
    <xf numFmtId="165" fontId="8" fillId="0" borderId="13" xfId="0" applyNumberFormat="1" applyFont="1" applyBorder="1"/>
    <xf numFmtId="0" fontId="8" fillId="0" borderId="33" xfId="0" applyFont="1" applyBorder="1"/>
    <xf numFmtId="0" fontId="8" fillId="0" borderId="34" xfId="0" applyFont="1" applyBorder="1"/>
    <xf numFmtId="0" fontId="8" fillId="0" borderId="35" xfId="0" applyFont="1" applyBorder="1"/>
    <xf numFmtId="165" fontId="8" fillId="0" borderId="21" xfId="0" applyNumberFormat="1" applyFont="1" applyBorder="1"/>
    <xf numFmtId="166" fontId="8" fillId="0" borderId="22" xfId="0" applyNumberFormat="1" applyFont="1" applyBorder="1"/>
    <xf numFmtId="164" fontId="8" fillId="0" borderId="23" xfId="0" applyNumberFormat="1" applyFont="1" applyBorder="1"/>
    <xf numFmtId="166" fontId="8" fillId="0" borderId="12" xfId="0" applyNumberFormat="1" applyFont="1" applyBorder="1"/>
    <xf numFmtId="0" fontId="7" fillId="0" borderId="0" xfId="0" applyFont="1"/>
    <xf numFmtId="0" fontId="16" fillId="0" borderId="0" xfId="0" applyFont="1"/>
    <xf numFmtId="166" fontId="16" fillId="0" borderId="0" xfId="0" applyNumberFormat="1" applyFont="1"/>
    <xf numFmtId="0" fontId="17" fillId="0" borderId="0" xfId="0" applyFont="1" applyAlignment="1">
      <alignment wrapText="1"/>
    </xf>
    <xf numFmtId="168" fontId="8" fillId="0" borderId="0" xfId="0" applyNumberFormat="1" applyFont="1"/>
    <xf numFmtId="0" fontId="0" fillId="0" borderId="36" xfId="0" applyBorder="1"/>
    <xf numFmtId="0" fontId="0" fillId="0" borderId="39" xfId="0" applyBorder="1"/>
    <xf numFmtId="0" fontId="0" fillId="0" borderId="41" xfId="0" applyBorder="1"/>
    <xf numFmtId="0" fontId="8" fillId="0" borderId="37" xfId="0" applyFont="1" applyBorder="1"/>
    <xf numFmtId="0" fontId="8" fillId="0" borderId="38" xfId="0" applyFont="1" applyBorder="1"/>
    <xf numFmtId="0" fontId="8" fillId="0" borderId="40" xfId="0" applyFont="1" applyBorder="1"/>
    <xf numFmtId="0" fontId="8" fillId="0" borderId="42" xfId="0" applyFont="1" applyBorder="1"/>
    <xf numFmtId="0" fontId="8" fillId="0" borderId="43" xfId="0" applyFont="1" applyBorder="1"/>
    <xf numFmtId="1" fontId="0" fillId="0" borderId="0" xfId="0" applyNumberFormat="1"/>
    <xf numFmtId="0" fontId="5" fillId="4" borderId="0" xfId="0" applyFont="1" applyFill="1" applyAlignment="1">
      <alignment horizontal="center" vertical="center"/>
    </xf>
    <xf numFmtId="0" fontId="4" fillId="6" borderId="7"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14" fillId="7" borderId="0" xfId="0" applyFont="1" applyFill="1"/>
    <xf numFmtId="0" fontId="15" fillId="8" borderId="31" xfId="0" applyFont="1" applyFill="1" applyBorder="1"/>
    <xf numFmtId="0" fontId="15" fillId="8" borderId="32" xfId="0" applyFont="1" applyFill="1" applyBorder="1"/>
    <xf numFmtId="166" fontId="18" fillId="0" borderId="0" xfId="0" applyNumberFormat="1" applyFont="1"/>
    <xf numFmtId="0" fontId="0" fillId="7" borderId="0" xfId="0" applyFill="1" applyAlignment="1">
      <alignment wrapText="1"/>
    </xf>
    <xf numFmtId="0" fontId="15" fillId="8" borderId="0" xfId="0" applyFont="1" applyFill="1"/>
    <xf numFmtId="0" fontId="19" fillId="10" borderId="0" xfId="0" applyFont="1" applyFill="1"/>
    <xf numFmtId="0" fontId="3" fillId="5" borderId="0" xfId="0" applyFont="1" applyFill="1" applyAlignment="1">
      <alignment horizontal="center"/>
    </xf>
    <xf numFmtId="0" fontId="4" fillId="6" borderId="9" xfId="0" applyFont="1" applyFill="1" applyBorder="1" applyAlignment="1">
      <alignment horizontal="center" vertical="center"/>
    </xf>
    <xf numFmtId="0" fontId="4" fillId="9" borderId="0" xfId="0" applyFont="1" applyFill="1" applyAlignment="1">
      <alignment horizontal="left" vertical="center"/>
    </xf>
    <xf numFmtId="0" fontId="3" fillId="5" borderId="1" xfId="0" applyFont="1" applyFill="1" applyBorder="1"/>
    <xf numFmtId="0" fontId="0" fillId="7" borderId="2" xfId="0" applyFill="1" applyBorder="1"/>
    <xf numFmtId="0" fontId="3" fillId="5" borderId="3" xfId="0" applyFont="1" applyFill="1" applyBorder="1"/>
    <xf numFmtId="0" fontId="0" fillId="7" borderId="4" xfId="0" applyFill="1" applyBorder="1"/>
    <xf numFmtId="0" fontId="3" fillId="5" borderId="5" xfId="0" applyFont="1" applyFill="1" applyBorder="1"/>
    <xf numFmtId="0" fontId="0" fillId="7" borderId="6" xfId="0" applyFill="1" applyBorder="1"/>
    <xf numFmtId="0" fontId="0" fillId="7" borderId="0" xfId="0" applyFill="1" applyAlignment="1">
      <alignment vertical="top" wrapText="1"/>
    </xf>
    <xf numFmtId="0" fontId="4" fillId="9" borderId="0" xfId="0" applyFont="1" applyFill="1"/>
    <xf numFmtId="0" fontId="3" fillId="5" borderId="0" xfId="0" applyFont="1" applyFill="1"/>
    <xf numFmtId="0" fontId="4" fillId="6" borderId="0" xfId="0" applyFont="1" applyFill="1"/>
    <xf numFmtId="164" fontId="7" fillId="8" borderId="1" xfId="0" applyNumberFormat="1" applyFont="1" applyFill="1" applyBorder="1"/>
    <xf numFmtId="164" fontId="7" fillId="8" borderId="10" xfId="0" applyNumberFormat="1" applyFont="1" applyFill="1" applyBorder="1"/>
    <xf numFmtId="164" fontId="7" fillId="8" borderId="2" xfId="0" applyNumberFormat="1" applyFont="1" applyFill="1" applyBorder="1"/>
    <xf numFmtId="0" fontId="7" fillId="7" borderId="1" xfId="0" applyFont="1" applyFill="1" applyBorder="1" applyAlignment="1">
      <alignment wrapText="1"/>
    </xf>
    <xf numFmtId="0" fontId="7" fillId="7" borderId="2" xfId="0" applyFont="1" applyFill="1" applyBorder="1" applyAlignment="1">
      <alignment wrapText="1"/>
    </xf>
    <xf numFmtId="0" fontId="7" fillId="7" borderId="3" xfId="0" applyFont="1" applyFill="1" applyBorder="1" applyAlignment="1">
      <alignment wrapText="1"/>
    </xf>
    <xf numFmtId="0" fontId="7" fillId="7" borderId="4" xfId="0" applyFont="1" applyFill="1" applyBorder="1" applyAlignment="1">
      <alignment wrapText="1"/>
    </xf>
    <xf numFmtId="0" fontId="10" fillId="7" borderId="0" xfId="0" applyFont="1" applyFill="1" applyAlignment="1">
      <alignment wrapText="1"/>
    </xf>
    <xf numFmtId="164" fontId="7" fillId="8" borderId="3" xfId="0" applyNumberFormat="1" applyFont="1" applyFill="1" applyBorder="1"/>
    <xf numFmtId="165" fontId="7" fillId="8" borderId="3" xfId="0" applyNumberFormat="1" applyFont="1" applyFill="1" applyBorder="1"/>
    <xf numFmtId="165" fontId="7" fillId="8" borderId="0" xfId="0" applyNumberFormat="1" applyFont="1" applyFill="1"/>
    <xf numFmtId="165" fontId="7" fillId="8" borderId="4" xfId="0" applyNumberFormat="1" applyFont="1" applyFill="1" applyBorder="1"/>
    <xf numFmtId="166" fontId="7" fillId="8" borderId="3" xfId="0" applyNumberFormat="1" applyFont="1" applyFill="1" applyBorder="1"/>
    <xf numFmtId="166" fontId="7" fillId="8" borderId="0" xfId="0" applyNumberFormat="1" applyFont="1" applyFill="1"/>
    <xf numFmtId="166" fontId="7" fillId="8" borderId="4" xfId="0" applyNumberFormat="1" applyFont="1" applyFill="1" applyBorder="1"/>
    <xf numFmtId="164" fontId="7" fillId="8" borderId="30" xfId="0" applyNumberFormat="1" applyFont="1" applyFill="1" applyBorder="1"/>
    <xf numFmtId="166" fontId="7" fillId="8" borderId="5" xfId="0" applyNumberFormat="1" applyFont="1" applyFill="1" applyBorder="1"/>
    <xf numFmtId="166" fontId="7" fillId="8" borderId="11" xfId="0" applyNumberFormat="1" applyFont="1" applyFill="1" applyBorder="1"/>
    <xf numFmtId="166" fontId="7" fillId="8" borderId="6" xfId="0" applyNumberFormat="1" applyFont="1" applyFill="1" applyBorder="1"/>
    <xf numFmtId="0" fontId="7" fillId="7" borderId="5" xfId="0" applyFont="1" applyFill="1" applyBorder="1" applyAlignment="1">
      <alignment wrapText="1"/>
    </xf>
    <xf numFmtId="0" fontId="7" fillId="7" borderId="6" xfId="0" applyFont="1" applyFill="1" applyBorder="1" applyAlignment="1">
      <alignment wrapText="1"/>
    </xf>
    <xf numFmtId="164" fontId="7" fillId="8" borderId="0" xfId="0" applyNumberFormat="1" applyFont="1" applyFill="1"/>
    <xf numFmtId="164" fontId="7" fillId="8" borderId="4" xfId="0" applyNumberFormat="1" applyFont="1" applyFill="1" applyBorder="1"/>
    <xf numFmtId="164" fontId="7" fillId="8" borderId="5" xfId="0" applyNumberFormat="1" applyFont="1" applyFill="1" applyBorder="1"/>
    <xf numFmtId="164" fontId="7" fillId="8" borderId="11" xfId="0" applyNumberFormat="1" applyFont="1" applyFill="1" applyBorder="1"/>
    <xf numFmtId="164" fontId="7" fillId="8" borderId="6" xfId="0" applyNumberFormat="1" applyFont="1" applyFill="1" applyBorder="1"/>
    <xf numFmtId="0" fontId="7" fillId="8" borderId="5" xfId="0" applyFont="1" applyFill="1" applyBorder="1"/>
    <xf numFmtId="0" fontId="7" fillId="8" borderId="6" xfId="0" applyFont="1" applyFill="1" applyBorder="1"/>
    <xf numFmtId="165" fontId="7" fillId="8" borderId="5" xfId="0" applyNumberFormat="1" applyFont="1" applyFill="1" applyBorder="1"/>
    <xf numFmtId="165" fontId="7" fillId="8" borderId="11" xfId="0" applyNumberFormat="1" applyFont="1" applyFill="1" applyBorder="1"/>
    <xf numFmtId="165" fontId="7" fillId="8" borderId="6" xfId="0" applyNumberFormat="1" applyFont="1" applyFill="1" applyBorder="1"/>
    <xf numFmtId="166" fontId="7" fillId="8" borderId="10" xfId="0" applyNumberFormat="1" applyFont="1" applyFill="1" applyBorder="1"/>
    <xf numFmtId="166" fontId="7" fillId="8" borderId="2" xfId="0" applyNumberFormat="1" applyFont="1" applyFill="1" applyBorder="1"/>
    <xf numFmtId="0" fontId="7" fillId="8" borderId="0" xfId="0" applyFont="1" applyFill="1" applyAlignment="1">
      <alignment wrapText="1"/>
    </xf>
    <xf numFmtId="0" fontId="4" fillId="9" borderId="0" xfId="0" applyFont="1" applyFill="1" applyAlignment="1">
      <alignment vertical="center"/>
    </xf>
    <xf numFmtId="0" fontId="7" fillId="8" borderId="0" xfId="0" applyFont="1" applyFill="1" applyAlignment="1">
      <alignment vertical="top" wrapText="1"/>
    </xf>
    <xf numFmtId="0" fontId="7" fillId="8" borderId="20" xfId="0" applyFont="1" applyFill="1" applyBorder="1"/>
    <xf numFmtId="166" fontId="8" fillId="8" borderId="14" xfId="0" applyNumberFormat="1" applyFont="1" applyFill="1" applyBorder="1" applyAlignment="1">
      <alignment wrapText="1"/>
    </xf>
    <xf numFmtId="166" fontId="8" fillId="8" borderId="16" xfId="0" applyNumberFormat="1" applyFont="1" applyFill="1" applyBorder="1" applyAlignment="1">
      <alignment wrapText="1"/>
    </xf>
    <xf numFmtId="166" fontId="8" fillId="8" borderId="19" xfId="0" applyNumberFormat="1" applyFont="1" applyFill="1" applyBorder="1" applyAlignment="1">
      <alignment wrapText="1"/>
    </xf>
    <xf numFmtId="164" fontId="4" fillId="6" borderId="8" xfId="0" applyNumberFormat="1" applyFont="1" applyFill="1" applyBorder="1" applyAlignment="1">
      <alignment horizontal="center" vertical="center" wrapText="1"/>
    </xf>
    <xf numFmtId="164" fontId="4" fillId="6" borderId="9" xfId="0" applyNumberFormat="1" applyFont="1" applyFill="1" applyBorder="1" applyAlignment="1">
      <alignment horizontal="center" vertical="center" wrapText="1"/>
    </xf>
    <xf numFmtId="166" fontId="4" fillId="6" borderId="8" xfId="0" applyNumberFormat="1" applyFont="1" applyFill="1" applyBorder="1" applyAlignment="1">
      <alignment horizontal="center" vertical="center" wrapText="1"/>
    </xf>
    <xf numFmtId="166" fontId="4" fillId="6" borderId="7" xfId="0" applyNumberFormat="1" applyFont="1" applyFill="1" applyBorder="1" applyAlignment="1">
      <alignment horizontal="center" vertical="center" wrapText="1"/>
    </xf>
    <xf numFmtId="166" fontId="4" fillId="6" borderId="9" xfId="0" applyNumberFormat="1" applyFont="1" applyFill="1" applyBorder="1" applyAlignment="1">
      <alignment horizontal="center" vertical="center" wrapText="1"/>
    </xf>
    <xf numFmtId="0" fontId="4" fillId="9" borderId="0" xfId="0" applyFont="1" applyFill="1" applyAlignment="1">
      <alignment horizontal="center" vertical="center"/>
    </xf>
    <xf numFmtId="166" fontId="9" fillId="7" borderId="24" xfId="0" applyNumberFormat="1" applyFont="1" applyFill="1" applyBorder="1" applyAlignment="1">
      <alignment horizontal="center" vertical="center"/>
    </xf>
    <xf numFmtId="166" fontId="9" fillId="7" borderId="25" xfId="0" applyNumberFormat="1" applyFont="1" applyFill="1" applyBorder="1" applyAlignment="1">
      <alignment horizontal="center" vertical="center"/>
    </xf>
    <xf numFmtId="166" fontId="9" fillId="7" borderId="26" xfId="0" applyNumberFormat="1" applyFont="1" applyFill="1" applyBorder="1" applyAlignment="1">
      <alignment horizontal="center" vertical="center"/>
    </xf>
    <xf numFmtId="166" fontId="9" fillId="7" borderId="27" xfId="0" applyNumberFormat="1" applyFont="1" applyFill="1" applyBorder="1" applyAlignment="1">
      <alignment horizontal="center" vertical="center"/>
    </xf>
    <xf numFmtId="166" fontId="9" fillId="7" borderId="28" xfId="0" applyNumberFormat="1" applyFont="1" applyFill="1" applyBorder="1" applyAlignment="1">
      <alignment horizontal="center" vertical="center"/>
    </xf>
    <xf numFmtId="166" fontId="9" fillId="7" borderId="29" xfId="0" applyNumberFormat="1" applyFont="1" applyFill="1" applyBorder="1" applyAlignment="1">
      <alignment horizontal="center" vertical="center"/>
    </xf>
    <xf numFmtId="0" fontId="0" fillId="0" borderId="0" xfId="0" pivotButton="1"/>
    <xf numFmtId="169" fontId="0" fillId="0" borderId="0" xfId="0" applyNumberFormat="1"/>
    <xf numFmtId="0" fontId="23" fillId="4" borderId="0" xfId="0" applyFont="1" applyFill="1" applyAlignment="1">
      <alignment horizontal="left" vertical="center"/>
    </xf>
    <xf numFmtId="0" fontId="24" fillId="0" borderId="0" xfId="0" pivotButton="1" applyFont="1"/>
    <xf numFmtId="0" fontId="24" fillId="0" borderId="0" xfId="0" applyFont="1"/>
    <xf numFmtId="0" fontId="5" fillId="4" borderId="0" xfId="0" applyFont="1" applyFill="1" applyAlignment="1">
      <alignment horizontal="center" vertical="center"/>
    </xf>
    <xf numFmtId="0" fontId="13" fillId="5" borderId="0" xfId="0" applyFont="1" applyFill="1" applyAlignment="1">
      <alignment wrapText="1"/>
    </xf>
    <xf numFmtId="0" fontId="0" fillId="7" borderId="0" xfId="0" applyFill="1" applyAlignment="1">
      <alignment vertical="top" wrapText="1"/>
    </xf>
    <xf numFmtId="0" fontId="0" fillId="2" borderId="0" xfId="0" applyFill="1" applyAlignment="1">
      <alignment vertical="top" wrapText="1"/>
    </xf>
    <xf numFmtId="0" fontId="1" fillId="4" borderId="0" xfId="0" applyFont="1" applyFill="1" applyAlignment="1">
      <alignment horizontal="left" vertical="center"/>
    </xf>
    <xf numFmtId="0" fontId="4" fillId="9" borderId="0" xfId="0" applyFont="1" applyFill="1" applyAlignment="1">
      <alignment horizontal="left" vertical="center"/>
    </xf>
    <xf numFmtId="0" fontId="5" fillId="4" borderId="0" xfId="0" applyFont="1" applyFill="1" applyAlignment="1">
      <alignment horizontal="left" vertical="center"/>
    </xf>
    <xf numFmtId="0" fontId="7" fillId="7" borderId="0" xfId="0" applyFont="1" applyFill="1" applyAlignment="1">
      <alignment vertical="top" wrapText="1"/>
    </xf>
    <xf numFmtId="0" fontId="7" fillId="8" borderId="0" xfId="0" applyFont="1" applyFill="1" applyAlignment="1">
      <alignment vertical="top" wrapText="1"/>
    </xf>
    <xf numFmtId="0" fontId="4" fillId="9" borderId="0" xfId="0" applyFont="1" applyFill="1" applyAlignment="1">
      <alignment vertical="center"/>
    </xf>
    <xf numFmtId="0" fontId="4" fillId="6" borderId="7"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9" borderId="0" xfId="0" applyFont="1" applyFill="1" applyAlignment="1">
      <alignment horizontal="left" vertical="center" wrapText="1"/>
    </xf>
    <xf numFmtId="0" fontId="21" fillId="7" borderId="0" xfId="0" applyFont="1" applyFill="1" applyAlignment="1">
      <alignment vertical="top" wrapText="1"/>
    </xf>
    <xf numFmtId="0" fontId="22" fillId="7" borderId="0" xfId="0" applyFont="1" applyFill="1" applyAlignment="1">
      <alignment horizontal="left" vertical="top" wrapText="1"/>
    </xf>
    <xf numFmtId="0" fontId="11" fillId="4" borderId="0" xfId="0" applyFont="1" applyFill="1" applyAlignment="1">
      <alignment horizontal="center" vertical="center"/>
    </xf>
    <xf numFmtId="0" fontId="3" fillId="5" borderId="0" xfId="0" applyFont="1" applyFill="1" applyAlignment="1">
      <alignment horizontal="center"/>
    </xf>
    <xf numFmtId="0" fontId="20" fillId="9" borderId="0" xfId="0" applyFont="1" applyFill="1" applyAlignment="1">
      <alignment horizontal="center" vertical="center"/>
    </xf>
    <xf numFmtId="164" fontId="20" fillId="9" borderId="0" xfId="0" applyNumberFormat="1" applyFont="1" applyFill="1" applyAlignment="1">
      <alignment horizontal="center" vertical="center"/>
    </xf>
    <xf numFmtId="164" fontId="12" fillId="7" borderId="24" xfId="0" applyNumberFormat="1" applyFont="1" applyFill="1" applyBorder="1" applyAlignment="1">
      <alignment horizontal="center" vertical="center"/>
    </xf>
    <xf numFmtId="164" fontId="12" fillId="7" borderId="25" xfId="0" applyNumberFormat="1" applyFont="1" applyFill="1" applyBorder="1" applyAlignment="1">
      <alignment horizontal="center" vertical="center"/>
    </xf>
    <xf numFmtId="164" fontId="12" fillId="7" borderId="26" xfId="0" applyNumberFormat="1" applyFont="1" applyFill="1" applyBorder="1" applyAlignment="1">
      <alignment horizontal="center" vertical="center"/>
    </xf>
    <xf numFmtId="164" fontId="12" fillId="7" borderId="27" xfId="0" applyNumberFormat="1" applyFont="1" applyFill="1" applyBorder="1" applyAlignment="1">
      <alignment horizontal="center" vertical="center"/>
    </xf>
    <xf numFmtId="164" fontId="12" fillId="7" borderId="28" xfId="0" applyNumberFormat="1" applyFont="1" applyFill="1" applyBorder="1" applyAlignment="1">
      <alignment horizontal="center" vertical="center"/>
    </xf>
    <xf numFmtId="164" fontId="12" fillId="7" borderId="29" xfId="0" applyNumberFormat="1" applyFont="1" applyFill="1" applyBorder="1" applyAlignment="1">
      <alignment horizontal="center" vertical="center"/>
    </xf>
    <xf numFmtId="165" fontId="20" fillId="9" borderId="0" xfId="0" applyNumberFormat="1" applyFont="1" applyFill="1" applyAlignment="1">
      <alignment horizontal="center" vertical="center"/>
    </xf>
    <xf numFmtId="165" fontId="12" fillId="7" borderId="44" xfId="0" applyNumberFormat="1" applyFont="1" applyFill="1" applyBorder="1" applyAlignment="1">
      <alignment horizontal="center" vertical="center"/>
    </xf>
    <xf numFmtId="165" fontId="12" fillId="7" borderId="45" xfId="0" applyNumberFormat="1" applyFont="1" applyFill="1" applyBorder="1" applyAlignment="1">
      <alignment horizontal="center" vertical="center"/>
    </xf>
    <xf numFmtId="165" fontId="12" fillId="7" borderId="46" xfId="0" applyNumberFormat="1" applyFont="1" applyFill="1" applyBorder="1" applyAlignment="1">
      <alignment horizontal="center" vertical="center"/>
    </xf>
    <xf numFmtId="166" fontId="20" fillId="9" borderId="0" xfId="0" applyNumberFormat="1" applyFont="1" applyFill="1" applyAlignment="1">
      <alignment horizontal="center" vertical="center"/>
    </xf>
    <xf numFmtId="166" fontId="12" fillId="7" borderId="24" xfId="0" applyNumberFormat="1" applyFont="1" applyFill="1" applyBorder="1" applyAlignment="1">
      <alignment horizontal="center" vertical="center"/>
    </xf>
    <xf numFmtId="166" fontId="12" fillId="7" borderId="25" xfId="0" applyNumberFormat="1" applyFont="1" applyFill="1" applyBorder="1" applyAlignment="1">
      <alignment horizontal="center" vertical="center"/>
    </xf>
    <xf numFmtId="166" fontId="12" fillId="7" borderId="26" xfId="0" applyNumberFormat="1" applyFont="1" applyFill="1" applyBorder="1" applyAlignment="1">
      <alignment horizontal="center" vertical="center"/>
    </xf>
    <xf numFmtId="166" fontId="12" fillId="7" borderId="27" xfId="0" applyNumberFormat="1" applyFont="1" applyFill="1" applyBorder="1" applyAlignment="1">
      <alignment horizontal="center" vertical="center"/>
    </xf>
    <xf numFmtId="166" fontId="12" fillId="7" borderId="28" xfId="0" applyNumberFormat="1" applyFont="1" applyFill="1" applyBorder="1" applyAlignment="1">
      <alignment horizontal="center" vertical="center"/>
    </xf>
    <xf numFmtId="166" fontId="12" fillId="7" borderId="29" xfId="0" applyNumberFormat="1" applyFont="1" applyFill="1" applyBorder="1" applyAlignment="1">
      <alignment horizontal="center" vertical="center"/>
    </xf>
    <xf numFmtId="166" fontId="12" fillId="7" borderId="44" xfId="0" applyNumberFormat="1" applyFont="1" applyFill="1" applyBorder="1" applyAlignment="1">
      <alignment horizontal="center" vertical="center"/>
    </xf>
    <xf numFmtId="166" fontId="12" fillId="7" borderId="45" xfId="0" applyNumberFormat="1" applyFont="1" applyFill="1" applyBorder="1" applyAlignment="1">
      <alignment horizontal="center" vertical="center"/>
    </xf>
    <xf numFmtId="166" fontId="12" fillId="7" borderId="46" xfId="0" applyNumberFormat="1" applyFont="1" applyFill="1" applyBorder="1" applyAlignment="1">
      <alignment horizontal="center" vertical="center"/>
    </xf>
    <xf numFmtId="0" fontId="7" fillId="7" borderId="1" xfId="0" applyFont="1" applyFill="1" applyBorder="1" applyAlignment="1">
      <alignment vertical="top" wrapText="1"/>
    </xf>
    <xf numFmtId="0" fontId="7" fillId="7" borderId="10" xfId="0" applyFont="1" applyFill="1" applyBorder="1" applyAlignment="1">
      <alignment vertical="top" wrapText="1"/>
    </xf>
    <xf numFmtId="0" fontId="7" fillId="7" borderId="2" xfId="0" applyFont="1" applyFill="1" applyBorder="1" applyAlignment="1">
      <alignment vertical="top" wrapText="1"/>
    </xf>
    <xf numFmtId="0" fontId="7" fillId="7" borderId="3" xfId="0" applyFont="1" applyFill="1" applyBorder="1" applyAlignment="1">
      <alignment vertical="top" wrapText="1"/>
    </xf>
    <xf numFmtId="0" fontId="7" fillId="7" borderId="4" xfId="0" applyFont="1" applyFill="1" applyBorder="1" applyAlignment="1">
      <alignment vertical="top" wrapText="1"/>
    </xf>
    <xf numFmtId="0" fontId="7" fillId="7" borderId="5" xfId="0" applyFont="1" applyFill="1" applyBorder="1" applyAlignment="1">
      <alignment vertical="top" wrapText="1"/>
    </xf>
    <xf numFmtId="0" fontId="7" fillId="7" borderId="11" xfId="0" applyFont="1" applyFill="1" applyBorder="1" applyAlignment="1">
      <alignment vertical="top" wrapText="1"/>
    </xf>
    <xf numFmtId="0" fontId="7" fillId="7" borderId="6" xfId="0" applyFont="1" applyFill="1" applyBorder="1" applyAlignment="1">
      <alignment vertical="top" wrapText="1"/>
    </xf>
    <xf numFmtId="0" fontId="2" fillId="0" borderId="0" xfId="0" applyFont="1" applyAlignment="1"/>
    <xf numFmtId="0" fontId="4" fillId="9" borderId="0" xfId="0" applyFont="1" applyFill="1" applyAlignment="1"/>
    <xf numFmtId="0" fontId="13" fillId="5" borderId="0" xfId="0" applyFont="1" applyFill="1" applyAlignment="1"/>
  </cellXfs>
  <cellStyles count="2">
    <cellStyle name="Hyperlink" xfId="1" xr:uid="{00000000-0005-0000-0000-000000000000}"/>
    <cellStyle name="Normal" xfId="0" builtinId="0"/>
  </cellStyles>
  <dxfs count="18">
    <dxf>
      <font>
        <b/>
        <color rgb="FFC00000"/>
      </font>
      <fill>
        <patternFill>
          <bgColor rgb="FFFCE4D6"/>
        </patternFill>
      </fill>
    </dxf>
    <dxf>
      <font>
        <b/>
        <color rgb="FF008000"/>
      </font>
      <fill>
        <patternFill>
          <bgColor rgb="FFE2F0D9"/>
        </patternFill>
      </fill>
    </dxf>
    <dxf>
      <font>
        <b/>
        <color rgb="FFC00000"/>
      </font>
      <fill>
        <patternFill>
          <bgColor rgb="FFFCE4D6"/>
        </patternFill>
      </fill>
    </dxf>
    <dxf>
      <font>
        <b/>
        <color rgb="FF008000"/>
      </font>
      <fill>
        <patternFill>
          <bgColor rgb="FFE2F0D9"/>
        </patternFill>
      </fill>
    </dxf>
    <dxf>
      <font>
        <b/>
        <color rgb="FFC00000"/>
      </font>
      <fill>
        <patternFill>
          <bgColor rgb="FFFCE4D6"/>
        </patternFill>
      </fill>
    </dxf>
    <dxf>
      <font>
        <b/>
        <color rgb="FF008000"/>
      </font>
      <fill>
        <patternFill>
          <bgColor rgb="FFE2F0D9"/>
        </patternFill>
      </fill>
    </dxf>
    <dxf>
      <font>
        <b/>
        <color rgb="FFC00000"/>
      </font>
      <fill>
        <patternFill>
          <bgColor rgb="FFFCE4D6"/>
        </patternFill>
      </fill>
    </dxf>
    <dxf>
      <font>
        <b/>
        <color rgb="FF008000"/>
      </font>
      <fill>
        <patternFill>
          <bgColor rgb="FFE2F0D9"/>
        </patternFill>
      </fill>
    </dxf>
    <dxf>
      <font>
        <b/>
        <color rgb="FFC00000"/>
      </font>
      <fill>
        <patternFill>
          <bgColor rgb="FFFCE4D6"/>
        </patternFill>
      </fill>
    </dxf>
    <dxf>
      <font>
        <b/>
        <color rgb="FF008000"/>
      </font>
      <fill>
        <patternFill>
          <bgColor rgb="FFE2F0D9"/>
        </patternFill>
      </fill>
    </dxf>
    <dxf>
      <font>
        <b/>
        <color rgb="FFC00000"/>
      </font>
      <fill>
        <patternFill>
          <bgColor rgb="FFFCE4D6"/>
        </patternFill>
      </fill>
    </dxf>
    <dxf>
      <font>
        <b/>
        <color rgb="FF008000"/>
      </font>
      <fill>
        <patternFill>
          <bgColor rgb="FFE2F0D9"/>
        </patternFill>
      </fill>
    </dxf>
    <dxf>
      <font>
        <color rgb="FFC00000"/>
      </font>
      <fill>
        <patternFill>
          <bgColor rgb="FFFCE4D6"/>
        </patternFill>
      </fill>
    </dxf>
    <dxf>
      <font>
        <color rgb="FF008000"/>
      </font>
      <fill>
        <patternFill>
          <bgColor rgb="FFE2F0D9"/>
        </patternFill>
      </fill>
    </dxf>
    <dxf>
      <fill>
        <patternFill>
          <bgColor rgb="FFE7E6E6"/>
        </patternFill>
      </fill>
    </dxf>
    <dxf>
      <fill>
        <patternFill>
          <bgColor rgb="FFFFF2CC"/>
        </patternFill>
      </fill>
    </dxf>
    <dxf>
      <font>
        <b/>
        <color rgb="FF008000"/>
      </font>
      <fill>
        <patternFill>
          <bgColor rgb="FFE2F0D9"/>
        </patternFill>
      </fill>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theme" Target="theme/theme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Annual Revenue and Net Income</a:t>
            </a:r>
          </a:p>
        </c:rich>
      </c:tx>
      <c:overlay val="0"/>
    </c:title>
    <c:autoTitleDeleted val="0"/>
    <c:plotArea>
      <c:layout/>
      <c:barChart>
        <c:barDir val="col"/>
        <c:grouping val="clustered"/>
        <c:varyColors val="0"/>
        <c:ser>
          <c:idx val="0"/>
          <c:order val="0"/>
          <c:tx>
            <c:v>FY2023</c:v>
          </c:tx>
          <c:invertIfNegative val="1"/>
          <c:cat>
            <c:strRef>
              <c:f>'18_Dashboard_Data'!$D$5:$D$6</c:f>
              <c:strCache>
                <c:ptCount val="2"/>
                <c:pt idx="0">
                  <c:v>Total Revenue</c:v>
                </c:pt>
                <c:pt idx="1">
                  <c:v>Net Income</c:v>
                </c:pt>
              </c:strCache>
            </c:strRef>
          </c:cat>
          <c:val>
            <c:numRef>
              <c:f>'18_Dashboard_Data'!$E$5:$E$6</c:f>
              <c:numCache>
                <c:formatCode>#,##0;[Red]\(#,##0\);\-</c:formatCode>
                <c:ptCount val="2"/>
                <c:pt idx="0">
                  <c:v>51464</c:v>
                </c:pt>
                <c:pt idx="1">
                  <c:v>14612</c:v>
                </c:pt>
              </c:numCache>
            </c:numRef>
          </c:val>
          <c:extLst>
            <c:ext xmlns:c16="http://schemas.microsoft.com/office/drawing/2014/chart" uri="{C3380CC4-5D6E-409C-BE32-E72D297353CC}">
              <c16:uniqueId val="{00000000-46FD-48CD-92C5-F7E33A7572A6}"/>
            </c:ext>
          </c:extLst>
        </c:ser>
        <c:ser>
          <c:idx val="1"/>
          <c:order val="1"/>
          <c:tx>
            <c:v>FY2024</c:v>
          </c:tx>
          <c:invertIfNegative val="1"/>
          <c:cat>
            <c:strRef>
              <c:f>'18_Dashboard_Data'!$D$5:$D$6</c:f>
              <c:strCache>
                <c:ptCount val="2"/>
                <c:pt idx="0">
                  <c:v>Total Revenue</c:v>
                </c:pt>
                <c:pt idx="1">
                  <c:v>Net Income</c:v>
                </c:pt>
              </c:strCache>
            </c:strRef>
          </c:cat>
          <c:val>
            <c:numRef>
              <c:f>'18_Dashboard_Data'!$F$5:$F$6</c:f>
              <c:numCache>
                <c:formatCode>#,##0;[Red]\(#,##0\);\-</c:formatCode>
                <c:ptCount val="2"/>
                <c:pt idx="0">
                  <c:v>57344</c:v>
                </c:pt>
                <c:pt idx="1">
                  <c:v>16240</c:v>
                </c:pt>
              </c:numCache>
            </c:numRef>
          </c:val>
          <c:extLst>
            <c:ext xmlns:c16="http://schemas.microsoft.com/office/drawing/2014/chart" uri="{C3380CC4-5D6E-409C-BE32-E72D297353CC}">
              <c16:uniqueId val="{00000001-46FD-48CD-92C5-F7E33A7572A6}"/>
            </c:ext>
          </c:extLst>
        </c:ser>
        <c:ser>
          <c:idx val="2"/>
          <c:order val="2"/>
          <c:tx>
            <c:v>FY2025</c:v>
          </c:tx>
          <c:invertIfNegative val="1"/>
          <c:cat>
            <c:strRef>
              <c:f>'18_Dashboard_Data'!$D$5:$D$6</c:f>
              <c:strCache>
                <c:ptCount val="2"/>
                <c:pt idx="0">
                  <c:v>Total Revenue</c:v>
                </c:pt>
                <c:pt idx="1">
                  <c:v>Net Income</c:v>
                </c:pt>
              </c:strCache>
            </c:strRef>
          </c:cat>
          <c:val>
            <c:numRef>
              <c:f>'18_Dashboard_Data'!$G$5:$G$6</c:f>
              <c:numCache>
                <c:formatCode>#,##0;[Red]\(#,##0\);\-</c:formatCode>
                <c:ptCount val="2"/>
                <c:pt idx="0">
                  <c:v>66605</c:v>
                </c:pt>
                <c:pt idx="1">
                  <c:v>20369</c:v>
                </c:pt>
              </c:numCache>
            </c:numRef>
          </c:val>
          <c:extLst>
            <c:ext xmlns:c16="http://schemas.microsoft.com/office/drawing/2014/chart" uri="{C3380CC4-5D6E-409C-BE32-E72D297353CC}">
              <c16:uniqueId val="{00000002-46FD-48CD-92C5-F7E33A7572A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Quarterly Net Income and PCL</a:t>
            </a:r>
          </a:p>
        </c:rich>
      </c:tx>
      <c:overlay val="0"/>
    </c:title>
    <c:autoTitleDeleted val="0"/>
    <c:plotArea>
      <c:layout/>
      <c:lineChart>
        <c:grouping val="standard"/>
        <c:varyColors val="0"/>
        <c:ser>
          <c:idx val="0"/>
          <c:order val="0"/>
          <c:tx>
            <c:v>Net Income</c:v>
          </c:tx>
          <c:cat>
            <c:strRef>
              <c:f>'18_Dashboard_Data'!$A$14:$A$23</c:f>
              <c:strCache>
                <c:ptCount val="10"/>
                <c:pt idx="0">
                  <c:v>Q1 2024</c:v>
                </c:pt>
                <c:pt idx="1">
                  <c:v>Q2 2024</c:v>
                </c:pt>
                <c:pt idx="2">
                  <c:v>Q3 2024</c:v>
                </c:pt>
                <c:pt idx="3">
                  <c:v>Q4 2024</c:v>
                </c:pt>
                <c:pt idx="4">
                  <c:v>Q1 2025</c:v>
                </c:pt>
                <c:pt idx="5">
                  <c:v>Q2 2025</c:v>
                </c:pt>
                <c:pt idx="6">
                  <c:v>Q3 2025</c:v>
                </c:pt>
                <c:pt idx="7">
                  <c:v>Q4 2025</c:v>
                </c:pt>
                <c:pt idx="8">
                  <c:v>Q1 2026</c:v>
                </c:pt>
                <c:pt idx="9">
                  <c:v>Q2 2026</c:v>
                </c:pt>
              </c:strCache>
            </c:strRef>
          </c:cat>
          <c:val>
            <c:numRef>
              <c:f>'18_Dashboard_Data'!$B$14:$B$23</c:f>
              <c:numCache>
                <c:formatCode>#,##0;[Red]\(#,##0\);\-</c:formatCode>
                <c:ptCount val="10"/>
                <c:pt idx="0">
                  <c:v>3582</c:v>
                </c:pt>
                <c:pt idx="1">
                  <c:v>3950</c:v>
                </c:pt>
                <c:pt idx="2">
                  <c:v>4486</c:v>
                </c:pt>
                <c:pt idx="3">
                  <c:v>4222</c:v>
                </c:pt>
                <c:pt idx="4">
                  <c:v>5131</c:v>
                </c:pt>
                <c:pt idx="5">
                  <c:v>4390</c:v>
                </c:pt>
                <c:pt idx="6">
                  <c:v>5414</c:v>
                </c:pt>
                <c:pt idx="7">
                  <c:v>5434</c:v>
                </c:pt>
                <c:pt idx="8">
                  <c:v>5785</c:v>
                </c:pt>
                <c:pt idx="9">
                  <c:v>5509</c:v>
                </c:pt>
              </c:numCache>
            </c:numRef>
          </c:val>
          <c:smooth val="0"/>
          <c:extLst>
            <c:ext xmlns:c16="http://schemas.microsoft.com/office/drawing/2014/chart" uri="{C3380CC4-5D6E-409C-BE32-E72D297353CC}">
              <c16:uniqueId val="{00000000-3203-4AF5-8F50-6F02D1BE5163}"/>
            </c:ext>
          </c:extLst>
        </c:ser>
        <c:ser>
          <c:idx val="1"/>
          <c:order val="1"/>
          <c:tx>
            <c:v>Total PCL</c:v>
          </c:tx>
          <c:cat>
            <c:strRef>
              <c:f>'18_Dashboard_Data'!$A$14:$A$23</c:f>
              <c:strCache>
                <c:ptCount val="10"/>
                <c:pt idx="0">
                  <c:v>Q1 2024</c:v>
                </c:pt>
                <c:pt idx="1">
                  <c:v>Q2 2024</c:v>
                </c:pt>
                <c:pt idx="2">
                  <c:v>Q3 2024</c:v>
                </c:pt>
                <c:pt idx="3">
                  <c:v>Q4 2024</c:v>
                </c:pt>
                <c:pt idx="4">
                  <c:v>Q1 2025</c:v>
                </c:pt>
                <c:pt idx="5">
                  <c:v>Q2 2025</c:v>
                </c:pt>
                <c:pt idx="6">
                  <c:v>Q3 2025</c:v>
                </c:pt>
                <c:pt idx="7">
                  <c:v>Q4 2025</c:v>
                </c:pt>
                <c:pt idx="8">
                  <c:v>Q1 2026</c:v>
                </c:pt>
                <c:pt idx="9">
                  <c:v>Q2 2026</c:v>
                </c:pt>
              </c:strCache>
            </c:strRef>
          </c:cat>
          <c:val>
            <c:numRef>
              <c:f>'18_Dashboard_Data'!$C$14:$C$23</c:f>
              <c:numCache>
                <c:formatCode>#,##0;[Red]\(#,##0\);\-</c:formatCode>
                <c:ptCount val="10"/>
                <c:pt idx="0">
                  <c:v>813</c:v>
                </c:pt>
                <c:pt idx="1">
                  <c:v>920</c:v>
                </c:pt>
                <c:pt idx="2">
                  <c:v>659</c:v>
                </c:pt>
                <c:pt idx="3">
                  <c:v>840</c:v>
                </c:pt>
                <c:pt idx="4">
                  <c:v>1050</c:v>
                </c:pt>
                <c:pt idx="5">
                  <c:v>1424</c:v>
                </c:pt>
                <c:pt idx="6">
                  <c:v>881</c:v>
                </c:pt>
                <c:pt idx="7">
                  <c:v>1007</c:v>
                </c:pt>
                <c:pt idx="8">
                  <c:v>1090</c:v>
                </c:pt>
                <c:pt idx="9">
                  <c:v>912</c:v>
                </c:pt>
              </c:numCache>
            </c:numRef>
          </c:val>
          <c:smooth val="0"/>
          <c:extLst>
            <c:ext xmlns:c16="http://schemas.microsoft.com/office/drawing/2014/chart" uri="{C3380CC4-5D6E-409C-BE32-E72D297353CC}">
              <c16:uniqueId val="{00000001-3203-4AF5-8F50-6F02D1BE516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Quarterly Profitability and Efficiency</a:t>
            </a:r>
          </a:p>
        </c:rich>
      </c:tx>
      <c:overlay val="0"/>
    </c:title>
    <c:autoTitleDeleted val="0"/>
    <c:plotArea>
      <c:layout/>
      <c:lineChart>
        <c:grouping val="standard"/>
        <c:varyColors val="0"/>
        <c:ser>
          <c:idx val="0"/>
          <c:order val="0"/>
          <c:tx>
            <c:v>ROE</c:v>
          </c:tx>
          <c:cat>
            <c:strRef>
              <c:f>'18_Dashboard_Data'!$E$14:$E$23</c:f>
              <c:strCache>
                <c:ptCount val="10"/>
                <c:pt idx="0">
                  <c:v>Q1 2024</c:v>
                </c:pt>
                <c:pt idx="1">
                  <c:v>Q2 2024</c:v>
                </c:pt>
                <c:pt idx="2">
                  <c:v>Q3 2024</c:v>
                </c:pt>
                <c:pt idx="3">
                  <c:v>Q4 2024</c:v>
                </c:pt>
                <c:pt idx="4">
                  <c:v>Q1 2025</c:v>
                </c:pt>
                <c:pt idx="5">
                  <c:v>Q2 2025</c:v>
                </c:pt>
                <c:pt idx="6">
                  <c:v>Q3 2025</c:v>
                </c:pt>
                <c:pt idx="7">
                  <c:v>Q4 2025</c:v>
                </c:pt>
                <c:pt idx="8">
                  <c:v>Q1 2026</c:v>
                </c:pt>
                <c:pt idx="9">
                  <c:v>Q2 2026</c:v>
                </c:pt>
              </c:strCache>
            </c:strRef>
          </c:cat>
          <c:val>
            <c:numRef>
              <c:f>'18_Dashboard_Data'!$F$14:$F$23</c:f>
              <c:numCache>
                <c:formatCode>0.0%;[Red]\(0.0%\);\-</c:formatCode>
                <c:ptCount val="10"/>
                <c:pt idx="0">
                  <c:v>0.13100000000000001</c:v>
                </c:pt>
                <c:pt idx="1">
                  <c:v>0.14499999999999999</c:v>
                </c:pt>
                <c:pt idx="2">
                  <c:v>0.155</c:v>
                </c:pt>
                <c:pt idx="3">
                  <c:v>0.14299999999999999</c:v>
                </c:pt>
                <c:pt idx="4">
                  <c:v>0.16800000000000001</c:v>
                </c:pt>
                <c:pt idx="5">
                  <c:v>0.14199999999999999</c:v>
                </c:pt>
                <c:pt idx="6">
                  <c:v>0.17299999999999999</c:v>
                </c:pt>
                <c:pt idx="7">
                  <c:v>0.16800000000000001</c:v>
                </c:pt>
                <c:pt idx="8">
                  <c:v>0.17599999999999999</c:v>
                </c:pt>
                <c:pt idx="9">
                  <c:v>0.17199999999999999</c:v>
                </c:pt>
              </c:numCache>
            </c:numRef>
          </c:val>
          <c:smooth val="0"/>
          <c:extLst>
            <c:ext xmlns:c16="http://schemas.microsoft.com/office/drawing/2014/chart" uri="{C3380CC4-5D6E-409C-BE32-E72D297353CC}">
              <c16:uniqueId val="{00000000-AD86-443C-AC38-8180C7F7DCC5}"/>
            </c:ext>
          </c:extLst>
        </c:ser>
        <c:ser>
          <c:idx val="1"/>
          <c:order val="1"/>
          <c:tx>
            <c:v>Efficiency Ratio</c:v>
          </c:tx>
          <c:cat>
            <c:strRef>
              <c:f>'18_Dashboard_Data'!$E$14:$E$23</c:f>
              <c:strCache>
                <c:ptCount val="10"/>
                <c:pt idx="0">
                  <c:v>Q1 2024</c:v>
                </c:pt>
                <c:pt idx="1">
                  <c:v>Q2 2024</c:v>
                </c:pt>
                <c:pt idx="2">
                  <c:v>Q3 2024</c:v>
                </c:pt>
                <c:pt idx="3">
                  <c:v>Q4 2024</c:v>
                </c:pt>
                <c:pt idx="4">
                  <c:v>Q1 2025</c:v>
                </c:pt>
                <c:pt idx="5">
                  <c:v>Q2 2025</c:v>
                </c:pt>
                <c:pt idx="6">
                  <c:v>Q3 2025</c:v>
                </c:pt>
                <c:pt idx="7">
                  <c:v>Q4 2025</c:v>
                </c:pt>
                <c:pt idx="8">
                  <c:v>Q1 2026</c:v>
                </c:pt>
                <c:pt idx="9">
                  <c:v>Q2 2026</c:v>
                </c:pt>
              </c:strCache>
            </c:strRef>
          </c:cat>
          <c:val>
            <c:numRef>
              <c:f>'18_Dashboard_Data'!$G$14:$G$23</c:f>
              <c:numCache>
                <c:formatCode>0.0%;[Red]\(0.0%\);\-</c:formatCode>
                <c:ptCount val="10"/>
                <c:pt idx="0">
                  <c:v>0.61699999999999999</c:v>
                </c:pt>
                <c:pt idx="1">
                  <c:v>0.58699999999999997</c:v>
                </c:pt>
                <c:pt idx="2">
                  <c:v>0.58799999999999997</c:v>
                </c:pt>
                <c:pt idx="3">
                  <c:v>0.59799999999999998</c:v>
                </c:pt>
                <c:pt idx="4">
                  <c:v>0.55300000000000005</c:v>
                </c:pt>
                <c:pt idx="5">
                  <c:v>0.55700000000000005</c:v>
                </c:pt>
                <c:pt idx="6">
                  <c:v>0.54400000000000004</c:v>
                </c:pt>
                <c:pt idx="7">
                  <c:v>0.54500000000000004</c:v>
                </c:pt>
                <c:pt idx="8">
                  <c:v>0.52700000000000002</c:v>
                </c:pt>
                <c:pt idx="9">
                  <c:v>0.54100000000000004</c:v>
                </c:pt>
              </c:numCache>
            </c:numRef>
          </c:val>
          <c:smooth val="0"/>
          <c:extLst>
            <c:ext xmlns:c16="http://schemas.microsoft.com/office/drawing/2014/chart" uri="{C3380CC4-5D6E-409C-BE32-E72D297353CC}">
              <c16:uniqueId val="{00000001-AD86-443C-AC38-8180C7F7DCC5}"/>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Credit Quality and Capital Ratios</a:t>
            </a:r>
          </a:p>
        </c:rich>
      </c:tx>
      <c:overlay val="0"/>
    </c:title>
    <c:autoTitleDeleted val="0"/>
    <c:plotArea>
      <c:layout/>
      <c:lineChart>
        <c:grouping val="standard"/>
        <c:varyColors val="0"/>
        <c:ser>
          <c:idx val="0"/>
          <c:order val="0"/>
          <c:tx>
            <c:v>PCL Ratio</c:v>
          </c:tx>
          <c:cat>
            <c:strRef>
              <c:f>'18_Dashboard_Data'!$I$14:$I$18</c:f>
              <c:strCache>
                <c:ptCount val="5"/>
                <c:pt idx="0">
                  <c:v>FY2023</c:v>
                </c:pt>
                <c:pt idx="1">
                  <c:v>FY2024</c:v>
                </c:pt>
                <c:pt idx="2">
                  <c:v>FY2025</c:v>
                </c:pt>
                <c:pt idx="3">
                  <c:v>Q1 2026</c:v>
                </c:pt>
                <c:pt idx="4">
                  <c:v>Q2 2026</c:v>
                </c:pt>
              </c:strCache>
            </c:strRef>
          </c:cat>
          <c:val>
            <c:numRef>
              <c:f>'18_Dashboard_Data'!$J$14:$J$18</c:f>
              <c:numCache>
                <c:formatCode>0.0%;[Red]\(0.0%\);\-</c:formatCode>
                <c:ptCount val="5"/>
                <c:pt idx="0">
                  <c:v>2.8999999999999998E-3</c:v>
                </c:pt>
                <c:pt idx="1">
                  <c:v>3.5000000000000001E-3</c:v>
                </c:pt>
                <c:pt idx="2">
                  <c:v>4.3E-3</c:v>
                </c:pt>
                <c:pt idx="3">
                  <c:v>4.1000000000000003E-3</c:v>
                </c:pt>
                <c:pt idx="4">
                  <c:v>3.5000000000000001E-3</c:v>
                </c:pt>
              </c:numCache>
            </c:numRef>
          </c:val>
          <c:smooth val="0"/>
          <c:extLst>
            <c:ext xmlns:c16="http://schemas.microsoft.com/office/drawing/2014/chart" uri="{C3380CC4-5D6E-409C-BE32-E72D297353CC}">
              <c16:uniqueId val="{00000000-A38E-4F32-8077-C1FCF930C72B}"/>
            </c:ext>
          </c:extLst>
        </c:ser>
        <c:ser>
          <c:idx val="1"/>
          <c:order val="1"/>
          <c:tx>
            <c:v>GIL Ratio</c:v>
          </c:tx>
          <c:cat>
            <c:strRef>
              <c:f>'18_Dashboard_Data'!$I$14:$I$18</c:f>
              <c:strCache>
                <c:ptCount val="5"/>
                <c:pt idx="0">
                  <c:v>FY2023</c:v>
                </c:pt>
                <c:pt idx="1">
                  <c:v>FY2024</c:v>
                </c:pt>
                <c:pt idx="2">
                  <c:v>FY2025</c:v>
                </c:pt>
                <c:pt idx="3">
                  <c:v>Q1 2026</c:v>
                </c:pt>
                <c:pt idx="4">
                  <c:v>Q2 2026</c:v>
                </c:pt>
              </c:strCache>
            </c:strRef>
          </c:cat>
          <c:val>
            <c:numRef>
              <c:f>'18_Dashboard_Data'!$K$14:$K$18</c:f>
              <c:numCache>
                <c:formatCode>0.0%;[Red]\(0.0%\);\-</c:formatCode>
                <c:ptCount val="5"/>
                <c:pt idx="0">
                  <c:v>4.1999999999999997E-3</c:v>
                </c:pt>
                <c:pt idx="1">
                  <c:v>5.8999999999999999E-3</c:v>
                </c:pt>
                <c:pt idx="2">
                  <c:v>8.3000000000000001E-3</c:v>
                </c:pt>
                <c:pt idx="3">
                  <c:v>8.6E-3</c:v>
                </c:pt>
                <c:pt idx="4">
                  <c:v>8.9999999999999993E-3</c:v>
                </c:pt>
              </c:numCache>
            </c:numRef>
          </c:val>
          <c:smooth val="0"/>
          <c:extLst>
            <c:ext xmlns:c16="http://schemas.microsoft.com/office/drawing/2014/chart" uri="{C3380CC4-5D6E-409C-BE32-E72D297353CC}">
              <c16:uniqueId val="{00000001-A38E-4F32-8077-C1FCF930C72B}"/>
            </c:ext>
          </c:extLst>
        </c:ser>
        <c:ser>
          <c:idx val="2"/>
          <c:order val="2"/>
          <c:tx>
            <c:v>CET1 Ratio</c:v>
          </c:tx>
          <c:cat>
            <c:strRef>
              <c:f>'18_Dashboard_Data'!$I$14:$I$18</c:f>
              <c:strCache>
                <c:ptCount val="5"/>
                <c:pt idx="0">
                  <c:v>FY2023</c:v>
                </c:pt>
                <c:pt idx="1">
                  <c:v>FY2024</c:v>
                </c:pt>
                <c:pt idx="2">
                  <c:v>FY2025</c:v>
                </c:pt>
                <c:pt idx="3">
                  <c:v>Q1 2026</c:v>
                </c:pt>
                <c:pt idx="4">
                  <c:v>Q2 2026</c:v>
                </c:pt>
              </c:strCache>
            </c:strRef>
          </c:cat>
          <c:val>
            <c:numRef>
              <c:f>'18_Dashboard_Data'!$L$14:$L$18</c:f>
              <c:numCache>
                <c:formatCode>0.0%;[Red]\(0.0%\);\-</c:formatCode>
                <c:ptCount val="5"/>
                <c:pt idx="0">
                  <c:v>0.14499999999999999</c:v>
                </c:pt>
                <c:pt idx="1">
                  <c:v>0.13200000000000001</c:v>
                </c:pt>
                <c:pt idx="2">
                  <c:v>0.13500000000000001</c:v>
                </c:pt>
                <c:pt idx="3">
                  <c:v>0.13700000000000001</c:v>
                </c:pt>
                <c:pt idx="4">
                  <c:v>0.13500000000000001</c:v>
                </c:pt>
              </c:numCache>
            </c:numRef>
          </c:val>
          <c:smooth val="0"/>
          <c:extLst>
            <c:ext xmlns:c16="http://schemas.microsoft.com/office/drawing/2014/chart" uri="{C3380CC4-5D6E-409C-BE32-E72D297353CC}">
              <c16:uniqueId val="{00000002-A38E-4F32-8077-C1FCF930C72B}"/>
            </c:ext>
          </c:extLst>
        </c:ser>
        <c:ser>
          <c:idx val="3"/>
          <c:order val="3"/>
          <c:tx>
            <c:v>Total Capital Ratio</c:v>
          </c:tx>
          <c:cat>
            <c:strRef>
              <c:f>'18_Dashboard_Data'!$I$14:$I$18</c:f>
              <c:strCache>
                <c:ptCount val="5"/>
                <c:pt idx="0">
                  <c:v>FY2023</c:v>
                </c:pt>
                <c:pt idx="1">
                  <c:v>FY2024</c:v>
                </c:pt>
                <c:pt idx="2">
                  <c:v>FY2025</c:v>
                </c:pt>
                <c:pt idx="3">
                  <c:v>Q1 2026</c:v>
                </c:pt>
                <c:pt idx="4">
                  <c:v>Q2 2026</c:v>
                </c:pt>
              </c:strCache>
            </c:strRef>
          </c:cat>
          <c:val>
            <c:numRef>
              <c:f>'18_Dashboard_Data'!$M$14:$M$18</c:f>
              <c:numCache>
                <c:formatCode>0.0%;[Red]\(0.0%\);\-</c:formatCode>
                <c:ptCount val="5"/>
                <c:pt idx="0">
                  <c:v>0.17599999999999999</c:v>
                </c:pt>
                <c:pt idx="1">
                  <c:v>0.16400000000000001</c:v>
                </c:pt>
                <c:pt idx="2">
                  <c:v>0.16800000000000001</c:v>
                </c:pt>
                <c:pt idx="3">
                  <c:v>0.16800000000000001</c:v>
                </c:pt>
                <c:pt idx="4">
                  <c:v>0.16900000000000001</c:v>
                </c:pt>
              </c:numCache>
            </c:numRef>
          </c:val>
          <c:smooth val="0"/>
          <c:extLst>
            <c:ext xmlns:c16="http://schemas.microsoft.com/office/drawing/2014/chart" uri="{C3380CC4-5D6E-409C-BE32-E72D297353CC}">
              <c16:uniqueId val="{00000003-A38E-4F32-8077-C1FCF930C72B}"/>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FY2025 Segment Revenue and Net Income</a:t>
            </a:r>
          </a:p>
        </c:rich>
      </c:tx>
      <c:overlay val="0"/>
    </c:title>
    <c:autoTitleDeleted val="0"/>
    <c:plotArea>
      <c:layout/>
      <c:barChart>
        <c:barDir val="col"/>
        <c:grouping val="clustered"/>
        <c:varyColors val="0"/>
        <c:ser>
          <c:idx val="0"/>
          <c:order val="0"/>
          <c:tx>
            <c:v>FY2025 Revenue</c:v>
          </c:tx>
          <c:invertIfNegative val="1"/>
          <c:cat>
            <c:strRef>
              <c:f>'18_Dashboard_Data'!$A$28:$A$33</c:f>
              <c:strCache>
                <c:ptCount val="6"/>
                <c:pt idx="0">
                  <c:v>Personal Banking</c:v>
                </c:pt>
                <c:pt idx="1">
                  <c:v>Commercial Banking</c:v>
                </c:pt>
                <c:pt idx="2">
                  <c:v>Wealth Management</c:v>
                </c:pt>
                <c:pt idx="3">
                  <c:v>Insurance</c:v>
                </c:pt>
                <c:pt idx="4">
                  <c:v>Capital Markets</c:v>
                </c:pt>
                <c:pt idx="5">
                  <c:v>Corporate Support</c:v>
                </c:pt>
              </c:strCache>
            </c:strRef>
          </c:cat>
          <c:val>
            <c:numRef>
              <c:f>'18_Dashboard_Data'!$B$28:$B$33</c:f>
              <c:numCache>
                <c:formatCode>#,##0;[Red]\(#,##0\);\-</c:formatCode>
                <c:ptCount val="6"/>
                <c:pt idx="0">
                  <c:v>19854</c:v>
                </c:pt>
                <c:pt idx="1">
                  <c:v>8562</c:v>
                </c:pt>
                <c:pt idx="2">
                  <c:v>22378</c:v>
                </c:pt>
                <c:pt idx="3">
                  <c:v>1321</c:v>
                </c:pt>
                <c:pt idx="4">
                  <c:v>14426</c:v>
                </c:pt>
                <c:pt idx="5">
                  <c:v>64</c:v>
                </c:pt>
              </c:numCache>
            </c:numRef>
          </c:val>
          <c:extLst>
            <c:ext xmlns:c16="http://schemas.microsoft.com/office/drawing/2014/chart" uri="{C3380CC4-5D6E-409C-BE32-E72D297353CC}">
              <c16:uniqueId val="{00000000-1B66-41E9-AA57-4FD6C000E334}"/>
            </c:ext>
          </c:extLst>
        </c:ser>
        <c:ser>
          <c:idx val="1"/>
          <c:order val="1"/>
          <c:tx>
            <c:v>FY2025 Net Income</c:v>
          </c:tx>
          <c:invertIfNegative val="1"/>
          <c:cat>
            <c:strRef>
              <c:f>'18_Dashboard_Data'!$A$28:$A$33</c:f>
              <c:strCache>
                <c:ptCount val="6"/>
                <c:pt idx="0">
                  <c:v>Personal Banking</c:v>
                </c:pt>
                <c:pt idx="1">
                  <c:v>Commercial Banking</c:v>
                </c:pt>
                <c:pt idx="2">
                  <c:v>Wealth Management</c:v>
                </c:pt>
                <c:pt idx="3">
                  <c:v>Insurance</c:v>
                </c:pt>
                <c:pt idx="4">
                  <c:v>Capital Markets</c:v>
                </c:pt>
                <c:pt idx="5">
                  <c:v>Corporate Support</c:v>
                </c:pt>
              </c:strCache>
            </c:strRef>
          </c:cat>
          <c:val>
            <c:numRef>
              <c:f>'18_Dashboard_Data'!$C$28:$C$33</c:f>
              <c:numCache>
                <c:formatCode>#,##0;[Red]\(#,##0\);\-</c:formatCode>
                <c:ptCount val="6"/>
                <c:pt idx="0">
                  <c:v>7105</c:v>
                </c:pt>
                <c:pt idx="1">
                  <c:v>3020</c:v>
                </c:pt>
                <c:pt idx="2">
                  <c:v>4289</c:v>
                </c:pt>
                <c:pt idx="3">
                  <c:v>828</c:v>
                </c:pt>
                <c:pt idx="4">
                  <c:v>5393</c:v>
                </c:pt>
                <c:pt idx="5">
                  <c:v>-266</c:v>
                </c:pt>
              </c:numCache>
            </c:numRef>
          </c:val>
          <c:extLst>
            <c:ext xmlns:c16="http://schemas.microsoft.com/office/drawing/2014/chart" uri="{C3380CC4-5D6E-409C-BE32-E72D297353CC}">
              <c16:uniqueId val="{00000001-1B66-41E9-AA57-4FD6C000E33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Selected Annual KPI</a:t>
            </a:r>
          </a:p>
        </c:rich>
      </c:tx>
      <c:overlay val="0"/>
    </c:title>
    <c:autoTitleDeleted val="0"/>
    <c:plotArea>
      <c:layout/>
      <c:barChart>
        <c:barDir val="col"/>
        <c:grouping val="clustered"/>
        <c:varyColors val="0"/>
        <c:ser>
          <c:idx val="0"/>
          <c:order val="0"/>
          <c:tx>
            <c:v>FY2023</c:v>
          </c:tx>
          <c:invertIfNegative val="1"/>
          <c:cat>
            <c:strRef>
              <c:f>'21_Interactive_Analysis'!$A$10</c:f>
              <c:strCache>
                <c:ptCount val="1"/>
                <c:pt idx="0">
                  <c:v>Net Income</c:v>
                </c:pt>
              </c:strCache>
            </c:strRef>
          </c:cat>
          <c:val>
            <c:numRef>
              <c:f>'21_Interactive_Analysis'!$B$10</c:f>
              <c:numCache>
                <c:formatCode>General</c:formatCode>
                <c:ptCount val="1"/>
                <c:pt idx="0">
                  <c:v>14612</c:v>
                </c:pt>
              </c:numCache>
            </c:numRef>
          </c:val>
          <c:extLst>
            <c:ext xmlns:c16="http://schemas.microsoft.com/office/drawing/2014/chart" uri="{C3380CC4-5D6E-409C-BE32-E72D297353CC}">
              <c16:uniqueId val="{00000000-D43E-4268-B806-327E4EA1B97C}"/>
            </c:ext>
          </c:extLst>
        </c:ser>
        <c:ser>
          <c:idx val="1"/>
          <c:order val="1"/>
          <c:tx>
            <c:v>FY2024</c:v>
          </c:tx>
          <c:invertIfNegative val="1"/>
          <c:cat>
            <c:strRef>
              <c:f>'21_Interactive_Analysis'!$A$10</c:f>
              <c:strCache>
                <c:ptCount val="1"/>
                <c:pt idx="0">
                  <c:v>Net Income</c:v>
                </c:pt>
              </c:strCache>
            </c:strRef>
          </c:cat>
          <c:val>
            <c:numRef>
              <c:f>'21_Interactive_Analysis'!$C$10</c:f>
              <c:numCache>
                <c:formatCode>General</c:formatCode>
                <c:ptCount val="1"/>
                <c:pt idx="0">
                  <c:v>16240</c:v>
                </c:pt>
              </c:numCache>
            </c:numRef>
          </c:val>
          <c:extLst>
            <c:ext xmlns:c16="http://schemas.microsoft.com/office/drawing/2014/chart" uri="{C3380CC4-5D6E-409C-BE32-E72D297353CC}">
              <c16:uniqueId val="{00000001-D43E-4268-B806-327E4EA1B97C}"/>
            </c:ext>
          </c:extLst>
        </c:ser>
        <c:ser>
          <c:idx val="2"/>
          <c:order val="2"/>
          <c:tx>
            <c:v>FY2025</c:v>
          </c:tx>
          <c:invertIfNegative val="1"/>
          <c:cat>
            <c:strRef>
              <c:f>'21_Interactive_Analysis'!$A$10</c:f>
              <c:strCache>
                <c:ptCount val="1"/>
                <c:pt idx="0">
                  <c:v>Net Income</c:v>
                </c:pt>
              </c:strCache>
            </c:strRef>
          </c:cat>
          <c:val>
            <c:numRef>
              <c:f>'21_Interactive_Analysis'!$D$10</c:f>
              <c:numCache>
                <c:formatCode>General</c:formatCode>
                <c:ptCount val="1"/>
                <c:pt idx="0">
                  <c:v>20369</c:v>
                </c:pt>
              </c:numCache>
            </c:numRef>
          </c:val>
          <c:extLst>
            <c:ext xmlns:c16="http://schemas.microsoft.com/office/drawing/2014/chart" uri="{C3380CC4-5D6E-409C-BE32-E72D297353CC}">
              <c16:uniqueId val="{00000002-D43E-4268-B806-327E4EA1B97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Segment Revenue and Net Income</a:t>
            </a:r>
          </a:p>
        </c:rich>
      </c:tx>
      <c:overlay val="0"/>
    </c:title>
    <c:autoTitleDeleted val="0"/>
    <c:plotArea>
      <c:layout/>
      <c:barChart>
        <c:barDir val="col"/>
        <c:grouping val="clustered"/>
        <c:varyColors val="0"/>
        <c:ser>
          <c:idx val="0"/>
          <c:order val="0"/>
          <c:tx>
            <c:v>Revenue</c:v>
          </c:tx>
          <c:invertIfNegative val="1"/>
          <c:cat>
            <c:strRef>
              <c:f>'21_Interactive_Analysis'!$G$10:$G$15</c:f>
              <c:strCache>
                <c:ptCount val="6"/>
                <c:pt idx="0">
                  <c:v>Personal Banking</c:v>
                </c:pt>
                <c:pt idx="1">
                  <c:v>Commercial Banking</c:v>
                </c:pt>
                <c:pt idx="2">
                  <c:v>Wealth Management</c:v>
                </c:pt>
                <c:pt idx="3">
                  <c:v>Insurance</c:v>
                </c:pt>
                <c:pt idx="4">
                  <c:v>Capital Markets</c:v>
                </c:pt>
                <c:pt idx="5">
                  <c:v>Corporate Support</c:v>
                </c:pt>
              </c:strCache>
            </c:strRef>
          </c:cat>
          <c:val>
            <c:numRef>
              <c:f>'21_Interactive_Analysis'!$H$10:$H$15</c:f>
              <c:numCache>
                <c:formatCode>#,##0;[Red]\(#,##0\);\-</c:formatCode>
                <c:ptCount val="6"/>
                <c:pt idx="0">
                  <c:v>19854</c:v>
                </c:pt>
                <c:pt idx="1">
                  <c:v>8562</c:v>
                </c:pt>
                <c:pt idx="2">
                  <c:v>22378</c:v>
                </c:pt>
                <c:pt idx="3">
                  <c:v>1321</c:v>
                </c:pt>
                <c:pt idx="4">
                  <c:v>14426</c:v>
                </c:pt>
                <c:pt idx="5">
                  <c:v>64</c:v>
                </c:pt>
              </c:numCache>
            </c:numRef>
          </c:val>
          <c:extLst>
            <c:ext xmlns:c16="http://schemas.microsoft.com/office/drawing/2014/chart" uri="{C3380CC4-5D6E-409C-BE32-E72D297353CC}">
              <c16:uniqueId val="{00000000-9D11-4266-B9A2-A21A83C85596}"/>
            </c:ext>
          </c:extLst>
        </c:ser>
        <c:ser>
          <c:idx val="1"/>
          <c:order val="1"/>
          <c:tx>
            <c:v>Net Income</c:v>
          </c:tx>
          <c:invertIfNegative val="1"/>
          <c:cat>
            <c:strRef>
              <c:f>'21_Interactive_Analysis'!$G$10:$G$15</c:f>
              <c:strCache>
                <c:ptCount val="6"/>
                <c:pt idx="0">
                  <c:v>Personal Banking</c:v>
                </c:pt>
                <c:pt idx="1">
                  <c:v>Commercial Banking</c:v>
                </c:pt>
                <c:pt idx="2">
                  <c:v>Wealth Management</c:v>
                </c:pt>
                <c:pt idx="3">
                  <c:v>Insurance</c:v>
                </c:pt>
                <c:pt idx="4">
                  <c:v>Capital Markets</c:v>
                </c:pt>
                <c:pt idx="5">
                  <c:v>Corporate Support</c:v>
                </c:pt>
              </c:strCache>
            </c:strRef>
          </c:cat>
          <c:val>
            <c:numRef>
              <c:f>'21_Interactive_Analysis'!$I$10:$I$15</c:f>
              <c:numCache>
                <c:formatCode>#,##0;[Red]\(#,##0\);\-</c:formatCode>
                <c:ptCount val="6"/>
                <c:pt idx="0">
                  <c:v>7105</c:v>
                </c:pt>
                <c:pt idx="1">
                  <c:v>3020</c:v>
                </c:pt>
                <c:pt idx="2">
                  <c:v>4289</c:v>
                </c:pt>
                <c:pt idx="3">
                  <c:v>828</c:v>
                </c:pt>
                <c:pt idx="4">
                  <c:v>5393</c:v>
                </c:pt>
                <c:pt idx="5">
                  <c:v>-266</c:v>
                </c:pt>
              </c:numCache>
            </c:numRef>
          </c:val>
          <c:extLst>
            <c:ext xmlns:c16="http://schemas.microsoft.com/office/drawing/2014/chart" uri="{C3380CC4-5D6E-409C-BE32-E72D297353CC}">
              <c16:uniqueId val="{00000001-9D11-4266-B9A2-A21A83C8559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Dynamic Segment Ranking</a:t>
            </a:r>
          </a:p>
        </c:rich>
      </c:tx>
      <c:overlay val="0"/>
    </c:title>
    <c:autoTitleDeleted val="0"/>
    <c:plotArea>
      <c:layout/>
      <c:barChart>
        <c:barDir val="col"/>
        <c:grouping val="clustered"/>
        <c:varyColors val="0"/>
        <c:ser>
          <c:idx val="0"/>
          <c:order val="0"/>
          <c:tx>
            <c:v>Selected Metric Value</c:v>
          </c:tx>
          <c:invertIfNegative val="1"/>
          <c:cat>
            <c:strRef>
              <c:f>'22_Advanced_Excel'!$B$26:$B$31</c:f>
              <c:strCache>
                <c:ptCount val="6"/>
                <c:pt idx="0">
                  <c:v>Personal Banking</c:v>
                </c:pt>
                <c:pt idx="1">
                  <c:v>Personal Banking</c:v>
                </c:pt>
                <c:pt idx="2">
                  <c:v>Personal Banking</c:v>
                </c:pt>
                <c:pt idx="3">
                  <c:v>Personal Banking</c:v>
                </c:pt>
                <c:pt idx="4">
                  <c:v>Personal Banking</c:v>
                </c:pt>
                <c:pt idx="5">
                  <c:v>Personal Banking</c:v>
                </c:pt>
              </c:strCache>
            </c:strRef>
          </c:cat>
          <c:val>
            <c:numRef>
              <c:f>'22_Advanced_Excel'!$C$26:$C$31</c:f>
              <c:numCache>
                <c:formatCode>General</c:formatCode>
                <c:ptCount val="6"/>
                <c:pt idx="0">
                  <c:v>7105</c:v>
                </c:pt>
                <c:pt idx="1">
                  <c:v>7105</c:v>
                </c:pt>
                <c:pt idx="2">
                  <c:v>7105</c:v>
                </c:pt>
                <c:pt idx="3">
                  <c:v>7105</c:v>
                </c:pt>
                <c:pt idx="4">
                  <c:v>7105</c:v>
                </c:pt>
                <c:pt idx="5">
                  <c:v>7105</c:v>
                </c:pt>
              </c:numCache>
            </c:numRef>
          </c:val>
          <c:extLst>
            <c:ext xmlns:c16="http://schemas.microsoft.com/office/drawing/2014/chart" uri="{C3380CC4-5D6E-409C-BE32-E72D297353CC}">
              <c16:uniqueId val="{00000000-732A-4058-9A98-B3B2FAE7CA0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Selected Metric by Segment and Period</a:t>
            </a:r>
          </a:p>
        </c:rich>
      </c:tx>
      <c:overlay val="0"/>
    </c:title>
    <c:autoTitleDeleted val="0"/>
    <c:plotArea>
      <c:layout/>
      <c:lineChart>
        <c:grouping val="standard"/>
        <c:varyColors val="0"/>
        <c:ser>
          <c:idx val="0"/>
          <c:order val="0"/>
          <c:tx>
            <c:v>FY2023</c:v>
          </c:tx>
          <c:cat>
            <c:strRef>
              <c:f>'24_Pivot_Summary'!$A$9:$A$14</c:f>
              <c:strCache>
                <c:ptCount val="6"/>
                <c:pt idx="0">
                  <c:v>Personal Banking</c:v>
                </c:pt>
                <c:pt idx="1">
                  <c:v>Commercial Banking</c:v>
                </c:pt>
                <c:pt idx="2">
                  <c:v>Wealth Management</c:v>
                </c:pt>
                <c:pt idx="3">
                  <c:v>Insurance</c:v>
                </c:pt>
                <c:pt idx="4">
                  <c:v>Capital Markets</c:v>
                </c:pt>
                <c:pt idx="5">
                  <c:v>Corporate Support</c:v>
                </c:pt>
              </c:strCache>
            </c:strRef>
          </c:cat>
          <c:val>
            <c:numRef>
              <c:f>'24_Pivot_Summary'!$B$9:$B$14</c:f>
              <c:numCache>
                <c:formatCode>General</c:formatCode>
                <c:ptCount val="6"/>
                <c:pt idx="0">
                  <c:v>5418</c:v>
                </c:pt>
                <c:pt idx="1">
                  <c:v>2582</c:v>
                </c:pt>
                <c:pt idx="2">
                  <c:v>2693</c:v>
                </c:pt>
                <c:pt idx="3">
                  <c:v>549</c:v>
                </c:pt>
                <c:pt idx="4">
                  <c:v>4139</c:v>
                </c:pt>
                <c:pt idx="5">
                  <c:v>-769</c:v>
                </c:pt>
              </c:numCache>
            </c:numRef>
          </c:val>
          <c:smooth val="0"/>
          <c:extLst>
            <c:ext xmlns:c16="http://schemas.microsoft.com/office/drawing/2014/chart" uri="{C3380CC4-5D6E-409C-BE32-E72D297353CC}">
              <c16:uniqueId val="{00000000-1F21-4127-A388-1083A1D5C71B}"/>
            </c:ext>
          </c:extLst>
        </c:ser>
        <c:ser>
          <c:idx val="1"/>
          <c:order val="1"/>
          <c:tx>
            <c:v>FY2024</c:v>
          </c:tx>
          <c:cat>
            <c:strRef>
              <c:f>'24_Pivot_Summary'!$A$9:$A$14</c:f>
              <c:strCache>
                <c:ptCount val="6"/>
                <c:pt idx="0">
                  <c:v>Personal Banking</c:v>
                </c:pt>
                <c:pt idx="1">
                  <c:v>Commercial Banking</c:v>
                </c:pt>
                <c:pt idx="2">
                  <c:v>Wealth Management</c:v>
                </c:pt>
                <c:pt idx="3">
                  <c:v>Insurance</c:v>
                </c:pt>
                <c:pt idx="4">
                  <c:v>Capital Markets</c:v>
                </c:pt>
                <c:pt idx="5">
                  <c:v>Corporate Support</c:v>
                </c:pt>
              </c:strCache>
            </c:strRef>
          </c:cat>
          <c:val>
            <c:numRef>
              <c:f>'24_Pivot_Summary'!$C$9:$C$14</c:f>
              <c:numCache>
                <c:formatCode>General</c:formatCode>
                <c:ptCount val="6"/>
                <c:pt idx="0">
                  <c:v>5921</c:v>
                </c:pt>
                <c:pt idx="1">
                  <c:v>2818</c:v>
                </c:pt>
                <c:pt idx="2">
                  <c:v>3422</c:v>
                </c:pt>
                <c:pt idx="3">
                  <c:v>729</c:v>
                </c:pt>
                <c:pt idx="4">
                  <c:v>4573</c:v>
                </c:pt>
                <c:pt idx="5">
                  <c:v>-1223</c:v>
                </c:pt>
              </c:numCache>
            </c:numRef>
          </c:val>
          <c:smooth val="0"/>
          <c:extLst>
            <c:ext xmlns:c16="http://schemas.microsoft.com/office/drawing/2014/chart" uri="{C3380CC4-5D6E-409C-BE32-E72D297353CC}">
              <c16:uniqueId val="{00000001-1F21-4127-A388-1083A1D5C71B}"/>
            </c:ext>
          </c:extLst>
        </c:ser>
        <c:ser>
          <c:idx val="2"/>
          <c:order val="2"/>
          <c:tx>
            <c:v>FY2025</c:v>
          </c:tx>
          <c:cat>
            <c:strRef>
              <c:f>'24_Pivot_Summary'!$A$9:$A$14</c:f>
              <c:strCache>
                <c:ptCount val="6"/>
                <c:pt idx="0">
                  <c:v>Personal Banking</c:v>
                </c:pt>
                <c:pt idx="1">
                  <c:v>Commercial Banking</c:v>
                </c:pt>
                <c:pt idx="2">
                  <c:v>Wealth Management</c:v>
                </c:pt>
                <c:pt idx="3">
                  <c:v>Insurance</c:v>
                </c:pt>
                <c:pt idx="4">
                  <c:v>Capital Markets</c:v>
                </c:pt>
                <c:pt idx="5">
                  <c:v>Corporate Support</c:v>
                </c:pt>
              </c:strCache>
            </c:strRef>
          </c:cat>
          <c:val>
            <c:numRef>
              <c:f>'24_Pivot_Summary'!$D$9:$D$14</c:f>
              <c:numCache>
                <c:formatCode>General</c:formatCode>
                <c:ptCount val="6"/>
                <c:pt idx="0">
                  <c:v>7105</c:v>
                </c:pt>
                <c:pt idx="1">
                  <c:v>3020</c:v>
                </c:pt>
                <c:pt idx="2">
                  <c:v>4289</c:v>
                </c:pt>
                <c:pt idx="3">
                  <c:v>828</c:v>
                </c:pt>
                <c:pt idx="4">
                  <c:v>5393</c:v>
                </c:pt>
                <c:pt idx="5">
                  <c:v>-266</c:v>
                </c:pt>
              </c:numCache>
            </c:numRef>
          </c:val>
          <c:smooth val="0"/>
          <c:extLst>
            <c:ext xmlns:c16="http://schemas.microsoft.com/office/drawing/2014/chart" uri="{C3380CC4-5D6E-409C-BE32-E72D297353CC}">
              <c16:uniqueId val="{00000002-1F21-4127-A388-1083A1D5C71B}"/>
            </c:ext>
          </c:extLst>
        </c:ser>
        <c:ser>
          <c:idx val="3"/>
          <c:order val="3"/>
          <c:tx>
            <c:v>Q1 2026</c:v>
          </c:tx>
          <c:cat>
            <c:strRef>
              <c:f>'24_Pivot_Summary'!$A$9:$A$14</c:f>
              <c:strCache>
                <c:ptCount val="6"/>
                <c:pt idx="0">
                  <c:v>Personal Banking</c:v>
                </c:pt>
                <c:pt idx="1">
                  <c:v>Commercial Banking</c:v>
                </c:pt>
                <c:pt idx="2">
                  <c:v>Wealth Management</c:v>
                </c:pt>
                <c:pt idx="3">
                  <c:v>Insurance</c:v>
                </c:pt>
                <c:pt idx="4">
                  <c:v>Capital Markets</c:v>
                </c:pt>
                <c:pt idx="5">
                  <c:v>Corporate Support</c:v>
                </c:pt>
              </c:strCache>
            </c:strRef>
          </c:cat>
          <c:val>
            <c:numRef>
              <c:f>'24_Pivot_Summary'!$E$9:$E$14</c:f>
              <c:numCache>
                <c:formatCode>General</c:formatCode>
                <c:ptCount val="6"/>
                <c:pt idx="0">
                  <c:v>1962</c:v>
                </c:pt>
                <c:pt idx="1">
                  <c:v>863</c:v>
                </c:pt>
                <c:pt idx="2">
                  <c:v>1295</c:v>
                </c:pt>
                <c:pt idx="3">
                  <c:v>213</c:v>
                </c:pt>
                <c:pt idx="4">
                  <c:v>1478</c:v>
                </c:pt>
                <c:pt idx="5">
                  <c:v>-26</c:v>
                </c:pt>
              </c:numCache>
            </c:numRef>
          </c:val>
          <c:smooth val="0"/>
          <c:extLst>
            <c:ext xmlns:c16="http://schemas.microsoft.com/office/drawing/2014/chart" uri="{C3380CC4-5D6E-409C-BE32-E72D297353CC}">
              <c16:uniqueId val="{00000003-1F21-4127-A388-1083A1D5C71B}"/>
            </c:ext>
          </c:extLst>
        </c:ser>
        <c:ser>
          <c:idx val="4"/>
          <c:order val="4"/>
          <c:tx>
            <c:v>Q2 2026</c:v>
          </c:tx>
          <c:cat>
            <c:strRef>
              <c:f>'24_Pivot_Summary'!$A$9:$A$14</c:f>
              <c:strCache>
                <c:ptCount val="6"/>
                <c:pt idx="0">
                  <c:v>Personal Banking</c:v>
                </c:pt>
                <c:pt idx="1">
                  <c:v>Commercial Banking</c:v>
                </c:pt>
                <c:pt idx="2">
                  <c:v>Wealth Management</c:v>
                </c:pt>
                <c:pt idx="3">
                  <c:v>Insurance</c:v>
                </c:pt>
                <c:pt idx="4">
                  <c:v>Capital Markets</c:v>
                </c:pt>
                <c:pt idx="5">
                  <c:v>Corporate Support</c:v>
                </c:pt>
              </c:strCache>
            </c:strRef>
          </c:cat>
          <c:val>
            <c:numRef>
              <c:f>'24_Pivot_Summary'!$F$9:$F$14</c:f>
              <c:numCache>
                <c:formatCode>General</c:formatCode>
                <c:ptCount val="6"/>
                <c:pt idx="0">
                  <c:v>1870</c:v>
                </c:pt>
                <c:pt idx="1">
                  <c:v>854</c:v>
                </c:pt>
                <c:pt idx="2">
                  <c:v>1185</c:v>
                </c:pt>
                <c:pt idx="3">
                  <c:v>218</c:v>
                </c:pt>
                <c:pt idx="4">
                  <c:v>1484</c:v>
                </c:pt>
                <c:pt idx="5">
                  <c:v>-102</c:v>
                </c:pt>
              </c:numCache>
            </c:numRef>
          </c:val>
          <c:smooth val="0"/>
          <c:extLst>
            <c:ext xmlns:c16="http://schemas.microsoft.com/office/drawing/2014/chart" uri="{C3380CC4-5D6E-409C-BE32-E72D297353CC}">
              <c16:uniqueId val="{00000004-1F21-4127-A388-1083A1D5C71B}"/>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7</xdr:col>
      <xdr:colOff>0</xdr:colOff>
      <xdr:row>27</xdr:row>
      <xdr:rowOff>0</xdr:rowOff>
    </xdr:to>
    <xdr:graphicFrame macro="">
      <xdr:nvGraphicFramePr>
        <xdr:cNvPr id="2" name="Chart">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14</xdr:col>
      <xdr:colOff>0</xdr:colOff>
      <xdr:row>27</xdr:row>
      <xdr:rowOff>0</xdr:rowOff>
    </xdr:to>
    <xdr:graphicFrame macro="">
      <xdr:nvGraphicFramePr>
        <xdr:cNvPr id="3" name="Chart">
          <a:extLst>
            <a:ext uri="{FF2B5EF4-FFF2-40B4-BE49-F238E27FC236}">
              <a16:creationId xmlns:a16="http://schemas.microsoft.com/office/drawing/2014/main" id="{00000000-0008-0000-1200-000003000000}"/>
            </a:ext>
            <a:ext uri="{147F2762-F138-4A5C-976F-8EAC2B608ADB}">
              <a16:predDERef xmlns:a16="http://schemas.microsoft.com/office/drawing/2014/main" pre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7</xdr:col>
      <xdr:colOff>0</xdr:colOff>
      <xdr:row>44</xdr:row>
      <xdr:rowOff>0</xdr:rowOff>
    </xdr:to>
    <xdr:graphicFrame macro="">
      <xdr:nvGraphicFramePr>
        <xdr:cNvPr id="4" name="Chart">
          <a:extLst>
            <a:ext uri="{FF2B5EF4-FFF2-40B4-BE49-F238E27FC236}">
              <a16:creationId xmlns:a16="http://schemas.microsoft.com/office/drawing/2014/main" id="{00000000-0008-0000-1200-000004000000}"/>
            </a:ext>
            <a:ext uri="{147F2762-F138-4A5C-976F-8EAC2B608ADB}">
              <a16:predDERef xmlns:a16="http://schemas.microsoft.com/office/drawing/2014/main" pre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28</xdr:row>
      <xdr:rowOff>0</xdr:rowOff>
    </xdr:from>
    <xdr:to>
      <xdr:col>14</xdr:col>
      <xdr:colOff>0</xdr:colOff>
      <xdr:row>44</xdr:row>
      <xdr:rowOff>0</xdr:rowOff>
    </xdr:to>
    <xdr:graphicFrame macro="">
      <xdr:nvGraphicFramePr>
        <xdr:cNvPr id="5" name="Chart">
          <a:extLst>
            <a:ext uri="{FF2B5EF4-FFF2-40B4-BE49-F238E27FC236}">
              <a16:creationId xmlns:a16="http://schemas.microsoft.com/office/drawing/2014/main" id="{00000000-0008-0000-1200-000005000000}"/>
            </a:ext>
            <a:ext uri="{147F2762-F138-4A5C-976F-8EAC2B608ADB}">
              <a16:predDERef xmlns:a16="http://schemas.microsoft.com/office/drawing/2014/main" pre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45</xdr:row>
      <xdr:rowOff>0</xdr:rowOff>
    </xdr:from>
    <xdr:to>
      <xdr:col>7</xdr:col>
      <xdr:colOff>0</xdr:colOff>
      <xdr:row>61</xdr:row>
      <xdr:rowOff>0</xdr:rowOff>
    </xdr:to>
    <xdr:graphicFrame macro="">
      <xdr:nvGraphicFramePr>
        <xdr:cNvPr id="6" name="Chart">
          <a:extLst>
            <a:ext uri="{FF2B5EF4-FFF2-40B4-BE49-F238E27FC236}">
              <a16:creationId xmlns:a16="http://schemas.microsoft.com/office/drawing/2014/main" id="{00000000-0008-0000-1200-000006000000}"/>
            </a:ext>
            <a:ext uri="{147F2762-F138-4A5C-976F-8EAC2B608ADB}">
              <a16:predDERef xmlns:a16="http://schemas.microsoft.com/office/drawing/2014/main" pre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6</xdr:col>
      <xdr:colOff>0</xdr:colOff>
      <xdr:row>32</xdr:row>
      <xdr:rowOff>0</xdr:rowOff>
    </xdr:to>
    <xdr:graphicFrame macro="">
      <xdr:nvGraphicFramePr>
        <xdr:cNvPr id="2" name="Chart">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17</xdr:row>
      <xdr:rowOff>0</xdr:rowOff>
    </xdr:from>
    <xdr:to>
      <xdr:col>14</xdr:col>
      <xdr:colOff>0</xdr:colOff>
      <xdr:row>32</xdr:row>
      <xdr:rowOff>0</xdr:rowOff>
    </xdr:to>
    <xdr:graphicFrame macro="">
      <xdr:nvGraphicFramePr>
        <xdr:cNvPr id="3" name="Chart">
          <a:extLst>
            <a:ext uri="{FF2B5EF4-FFF2-40B4-BE49-F238E27FC236}">
              <a16:creationId xmlns:a16="http://schemas.microsoft.com/office/drawing/2014/main" id="{00000000-0008-0000-1400-000003000000}"/>
            </a:ext>
            <a:ext uri="{147F2762-F138-4A5C-976F-8EAC2B608ADB}">
              <a16:predDERef xmlns:a16="http://schemas.microsoft.com/office/drawing/2014/main" pre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20</xdr:row>
      <xdr:rowOff>0</xdr:rowOff>
    </xdr:from>
    <xdr:to>
      <xdr:col>12</xdr:col>
      <xdr:colOff>0</xdr:colOff>
      <xdr:row>36</xdr:row>
      <xdr:rowOff>0</xdr:rowOff>
    </xdr:to>
    <xdr:graphicFrame macro="">
      <xdr:nvGraphicFramePr>
        <xdr:cNvPr id="2" name="Chart">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28</xdr:row>
      <xdr:rowOff>0</xdr:rowOff>
    </xdr:from>
    <xdr:to>
      <xdr:col>10</xdr:col>
      <xdr:colOff>0</xdr:colOff>
      <xdr:row>43</xdr:row>
      <xdr:rowOff>0</xdr:rowOff>
    </xdr:to>
    <xdr:graphicFrame macro="">
      <xdr:nvGraphicFramePr>
        <xdr:cNvPr id="2" name="Chart">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381000</xdr:colOff>
      <xdr:row>4</xdr:row>
      <xdr:rowOff>161925</xdr:rowOff>
    </xdr:from>
    <xdr:to>
      <xdr:col>8</xdr:col>
      <xdr:colOff>28575</xdr:colOff>
      <xdr:row>21</xdr:row>
      <xdr:rowOff>0</xdr:rowOff>
    </xdr:to>
    <mc:AlternateContent xmlns:mc="http://schemas.openxmlformats.org/markup-compatibility/2006" xmlns:a14="http://schemas.microsoft.com/office/drawing/2010/main">
      <mc:Choice Requires="a14">
        <xdr:graphicFrame macro="">
          <xdr:nvGraphicFramePr>
            <xdr:cNvPr id="2" name="Period">
              <a:extLst>
                <a:ext uri="{FF2B5EF4-FFF2-40B4-BE49-F238E27FC236}">
                  <a16:creationId xmlns:a16="http://schemas.microsoft.com/office/drawing/2014/main" id="{53991387-1806-F454-3940-6022DE81DBC3}"/>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5210175" y="885825"/>
              <a:ext cx="1447800" cy="29337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xdr:col>
      <xdr:colOff>200025</xdr:colOff>
      <xdr:row>5</xdr:row>
      <xdr:rowOff>9525</xdr:rowOff>
    </xdr:from>
    <xdr:to>
      <xdr:col>10</xdr:col>
      <xdr:colOff>200025</xdr:colOff>
      <xdr:row>14</xdr:row>
      <xdr:rowOff>57150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77467A64-3AE0-E0E6-3BFD-13D0EF43E910}"/>
                </a:ext>
                <a:ext uri="{147F2762-F138-4A5C-976F-8EAC2B608ADB}">
                  <a16:predDERef xmlns:a16="http://schemas.microsoft.com/office/drawing/2014/main" pred="{53991387-1806-F454-3940-6022DE81DBC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829425" y="914400"/>
              <a:ext cx="1866900" cy="16954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9.743970023148" createdVersion="8" refreshedVersion="8" minRefreshableVersion="3" recordCount="435" xr:uid="{0CD45A49-923A-43DA-ADAC-07F1F7A0E191}">
  <cacheSource type="worksheet">
    <worksheetSource name="RBC_Pivot_Source"/>
  </cacheSource>
  <cacheFields count="9">
    <cacheField name="Analysis Type" numFmtId="0">
      <sharedItems count="3">
        <s v="Consolidated Annual"/>
        <s v="Consolidated Quarterly"/>
        <s v="Segment"/>
      </sharedItems>
    </cacheField>
    <cacheField name="Period" numFmtId="0">
      <sharedItems count="13">
        <s v="FY2023"/>
        <s v="FY2024"/>
        <s v="FY2025"/>
        <s v="Q1 2024"/>
        <s v="Q2 2024"/>
        <s v="Q3 2024"/>
        <s v="Q4 2024"/>
        <s v="Q1 2025"/>
        <s v="Q2 2025"/>
        <s v="Q3 2025"/>
        <s v="Q4 2025"/>
        <s v="Q1 2026"/>
        <s v="Q2 2026"/>
      </sharedItems>
    </cacheField>
    <cacheField name="Period Order" numFmtId="0">
      <sharedItems containsSemiMixedTypes="0" containsString="0" containsNumber="1" containsInteger="1" minValue="1" maxValue="10"/>
    </cacheField>
    <cacheField name="Segment" numFmtId="0">
      <sharedItems count="7">
        <s v="Total RBC"/>
        <s v="Personal Banking"/>
        <s v="Commercial Banking"/>
        <s v="Wealth Management"/>
        <s v="Insurance"/>
        <s v="Capital Markets"/>
        <s v="Corporate Support"/>
      </sharedItems>
    </cacheField>
    <cacheField name="Metric" numFmtId="0">
      <sharedItems count="16">
        <s v="Net Interest Income"/>
        <s v="Non-Interest Income"/>
        <s v="Total Revenue"/>
        <s v="Provision for Credit Losses"/>
        <s v="Non-Interest Expense"/>
        <s v="Income Before Income Taxes"/>
        <s v="Income Taxes"/>
        <s v="Net Income"/>
        <s v="Net Income Available to Common Shareholders"/>
        <s v="Diluted EPS"/>
        <s v="ROE"/>
        <s v="Efficiency Ratio"/>
        <s v="Operating Leverage"/>
        <s v="PPPT Earnings"/>
        <s v="Effective Tax Rate"/>
        <s v="PCL"/>
      </sharedItems>
    </cacheField>
    <cacheField name="Unit" numFmtId="0">
      <sharedItems/>
    </cacheField>
    <cacheField name="Value" numFmtId="0">
      <sharedItems containsString="0" containsBlank="1" containsNumber="1" minValue="-2033" maxValue="66605"/>
    </cacheField>
    <cacheField name="Source Sheet" numFmtId="0">
      <sharedItems/>
    </cacheField>
    <cacheField name="Source Cell" numFmtId="0">
      <sharedItems/>
    </cacheField>
  </cacheFields>
  <extLst>
    <ext xmlns:x14="http://schemas.microsoft.com/office/spreadsheetml/2009/9/main" uri="{725AE2AE-9491-48be-B2B4-4EB974FC3084}">
      <x14:pivotCacheDefinition pivotCacheId="1668665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5">
  <r>
    <x v="0"/>
    <x v="0"/>
    <n v="1"/>
    <x v="0"/>
    <x v="0"/>
    <s v="CAD millions"/>
    <n v="25129"/>
    <s v="05_Raw_Annual_Performance"/>
    <s v="C5"/>
  </r>
  <r>
    <x v="0"/>
    <x v="1"/>
    <n v="2"/>
    <x v="0"/>
    <x v="0"/>
    <s v="CAD millions"/>
    <n v="27953"/>
    <s v="05_Raw_Annual_Performance"/>
    <s v="D5"/>
  </r>
  <r>
    <x v="0"/>
    <x v="2"/>
    <n v="3"/>
    <x v="0"/>
    <x v="0"/>
    <s v="CAD millions"/>
    <n v="33000"/>
    <s v="05_Raw_Annual_Performance"/>
    <s v="E5"/>
  </r>
  <r>
    <x v="0"/>
    <x v="0"/>
    <n v="1"/>
    <x v="0"/>
    <x v="1"/>
    <s v="CAD millions"/>
    <n v="26335"/>
    <s v="05_Raw_Annual_Performance"/>
    <s v="C6"/>
  </r>
  <r>
    <x v="0"/>
    <x v="1"/>
    <n v="2"/>
    <x v="0"/>
    <x v="1"/>
    <s v="CAD millions"/>
    <n v="29391"/>
    <s v="05_Raw_Annual_Performance"/>
    <s v="D6"/>
  </r>
  <r>
    <x v="0"/>
    <x v="2"/>
    <n v="3"/>
    <x v="0"/>
    <x v="1"/>
    <s v="CAD millions"/>
    <n v="33605"/>
    <s v="05_Raw_Annual_Performance"/>
    <s v="E6"/>
  </r>
  <r>
    <x v="0"/>
    <x v="0"/>
    <n v="1"/>
    <x v="0"/>
    <x v="2"/>
    <s v="CAD millions"/>
    <n v="51464"/>
    <s v="05_Raw_Annual_Performance"/>
    <s v="C7"/>
  </r>
  <r>
    <x v="0"/>
    <x v="1"/>
    <n v="2"/>
    <x v="0"/>
    <x v="2"/>
    <s v="CAD millions"/>
    <n v="57344"/>
    <s v="05_Raw_Annual_Performance"/>
    <s v="D7"/>
  </r>
  <r>
    <x v="0"/>
    <x v="2"/>
    <n v="3"/>
    <x v="0"/>
    <x v="2"/>
    <s v="CAD millions"/>
    <n v="66605"/>
    <s v="05_Raw_Annual_Performance"/>
    <s v="E7"/>
  </r>
  <r>
    <x v="0"/>
    <x v="0"/>
    <n v="1"/>
    <x v="0"/>
    <x v="3"/>
    <s v="CAD millions"/>
    <n v="2468"/>
    <s v="05_Raw_Annual_Performance"/>
    <s v="C8"/>
  </r>
  <r>
    <x v="0"/>
    <x v="1"/>
    <n v="2"/>
    <x v="0"/>
    <x v="3"/>
    <s v="CAD millions"/>
    <n v="3232"/>
    <s v="05_Raw_Annual_Performance"/>
    <s v="D8"/>
  </r>
  <r>
    <x v="0"/>
    <x v="2"/>
    <n v="3"/>
    <x v="0"/>
    <x v="3"/>
    <s v="CAD millions"/>
    <n v="4362"/>
    <s v="05_Raw_Annual_Performance"/>
    <s v="E8"/>
  </r>
  <r>
    <x v="0"/>
    <x v="0"/>
    <n v="1"/>
    <x v="0"/>
    <x v="4"/>
    <s v="CAD millions"/>
    <n v="30813"/>
    <s v="05_Raw_Annual_Performance"/>
    <s v="C9"/>
  </r>
  <r>
    <x v="0"/>
    <x v="1"/>
    <n v="2"/>
    <x v="0"/>
    <x v="4"/>
    <s v="CAD millions"/>
    <n v="34250"/>
    <s v="05_Raw_Annual_Performance"/>
    <s v="D9"/>
  </r>
  <r>
    <x v="0"/>
    <x v="2"/>
    <n v="3"/>
    <x v="0"/>
    <x v="4"/>
    <s v="CAD millions"/>
    <n v="36592"/>
    <s v="05_Raw_Annual_Performance"/>
    <s v="E9"/>
  </r>
  <r>
    <x v="0"/>
    <x v="0"/>
    <n v="1"/>
    <x v="0"/>
    <x v="5"/>
    <s v="CAD millions"/>
    <n v="18183"/>
    <s v="05_Raw_Annual_Performance"/>
    <s v="C10"/>
  </r>
  <r>
    <x v="0"/>
    <x v="1"/>
    <n v="2"/>
    <x v="0"/>
    <x v="5"/>
    <s v="CAD millions"/>
    <n v="19862"/>
    <s v="05_Raw_Annual_Performance"/>
    <s v="D10"/>
  </r>
  <r>
    <x v="0"/>
    <x v="2"/>
    <n v="3"/>
    <x v="0"/>
    <x v="5"/>
    <s v="CAD millions"/>
    <n v="25651"/>
    <s v="05_Raw_Annual_Performance"/>
    <s v="E10"/>
  </r>
  <r>
    <x v="0"/>
    <x v="0"/>
    <n v="1"/>
    <x v="0"/>
    <x v="6"/>
    <s v="CAD millions"/>
    <n v="3571"/>
    <s v="05_Raw_Annual_Performance"/>
    <s v="C11"/>
  </r>
  <r>
    <x v="0"/>
    <x v="1"/>
    <n v="2"/>
    <x v="0"/>
    <x v="6"/>
    <s v="CAD millions"/>
    <n v="3622"/>
    <s v="05_Raw_Annual_Performance"/>
    <s v="D11"/>
  </r>
  <r>
    <x v="0"/>
    <x v="2"/>
    <n v="3"/>
    <x v="0"/>
    <x v="6"/>
    <s v="CAD millions"/>
    <n v="5282"/>
    <s v="05_Raw_Annual_Performance"/>
    <s v="E11"/>
  </r>
  <r>
    <x v="0"/>
    <x v="0"/>
    <n v="1"/>
    <x v="0"/>
    <x v="7"/>
    <s v="CAD millions"/>
    <n v="14612"/>
    <s v="05_Raw_Annual_Performance"/>
    <s v="C12"/>
  </r>
  <r>
    <x v="0"/>
    <x v="1"/>
    <n v="2"/>
    <x v="0"/>
    <x v="7"/>
    <s v="CAD millions"/>
    <n v="16240"/>
    <s v="05_Raw_Annual_Performance"/>
    <s v="D12"/>
  </r>
  <r>
    <x v="0"/>
    <x v="2"/>
    <n v="3"/>
    <x v="0"/>
    <x v="7"/>
    <s v="CAD millions"/>
    <n v="20369"/>
    <s v="05_Raw_Annual_Performance"/>
    <s v="E12"/>
  </r>
  <r>
    <x v="0"/>
    <x v="0"/>
    <n v="1"/>
    <x v="0"/>
    <x v="8"/>
    <s v="CAD millions"/>
    <n v="14369"/>
    <s v="05_Raw_Annual_Performance"/>
    <s v="C13"/>
  </r>
  <r>
    <x v="0"/>
    <x v="1"/>
    <n v="2"/>
    <x v="0"/>
    <x v="8"/>
    <s v="CAD millions"/>
    <n v="15908"/>
    <s v="05_Raw_Annual_Performance"/>
    <s v="D13"/>
  </r>
  <r>
    <x v="0"/>
    <x v="2"/>
    <n v="3"/>
    <x v="0"/>
    <x v="8"/>
    <s v="CAD millions"/>
    <n v="19868"/>
    <s v="05_Raw_Annual_Performance"/>
    <s v="E13"/>
  </r>
  <r>
    <x v="0"/>
    <x v="0"/>
    <n v="1"/>
    <x v="0"/>
    <x v="9"/>
    <s v="CAD per share"/>
    <n v="10.32"/>
    <s v="05_Raw_Annual_Performance"/>
    <s v="C14"/>
  </r>
  <r>
    <x v="0"/>
    <x v="1"/>
    <n v="2"/>
    <x v="0"/>
    <x v="9"/>
    <s v="CAD per share"/>
    <n v="11.25"/>
    <s v="05_Raw_Annual_Performance"/>
    <s v="D14"/>
  </r>
  <r>
    <x v="0"/>
    <x v="2"/>
    <n v="3"/>
    <x v="0"/>
    <x v="9"/>
    <s v="CAD per share"/>
    <n v="14.07"/>
    <s v="05_Raw_Annual_Performance"/>
    <s v="E14"/>
  </r>
  <r>
    <x v="0"/>
    <x v="0"/>
    <n v="1"/>
    <x v="0"/>
    <x v="10"/>
    <s v="%"/>
    <n v="0.14299999999999999"/>
    <s v="05_Raw_Annual_Performance"/>
    <s v="C15"/>
  </r>
  <r>
    <x v="0"/>
    <x v="1"/>
    <n v="2"/>
    <x v="0"/>
    <x v="10"/>
    <s v="%"/>
    <n v="0.14399999999999999"/>
    <s v="05_Raw_Annual_Performance"/>
    <s v="D15"/>
  </r>
  <r>
    <x v="0"/>
    <x v="2"/>
    <n v="3"/>
    <x v="0"/>
    <x v="10"/>
    <s v="%"/>
    <n v="0.16300000000000001"/>
    <s v="05_Raw_Annual_Performance"/>
    <s v="E15"/>
  </r>
  <r>
    <x v="0"/>
    <x v="0"/>
    <n v="1"/>
    <x v="0"/>
    <x v="11"/>
    <s v="%"/>
    <n v="0.59899999999999998"/>
    <s v="05_Raw_Annual_Performance"/>
    <s v="C16"/>
  </r>
  <r>
    <x v="0"/>
    <x v="1"/>
    <n v="2"/>
    <x v="0"/>
    <x v="11"/>
    <s v="%"/>
    <n v="0.59699999999999998"/>
    <s v="05_Raw_Annual_Performance"/>
    <s v="D16"/>
  </r>
  <r>
    <x v="0"/>
    <x v="2"/>
    <n v="3"/>
    <x v="0"/>
    <x v="11"/>
    <s v="%"/>
    <n v="0.54900000000000004"/>
    <s v="05_Raw_Annual_Performance"/>
    <s v="E16"/>
  </r>
  <r>
    <x v="0"/>
    <x v="0"/>
    <n v="1"/>
    <x v="0"/>
    <x v="12"/>
    <s v="%"/>
    <n v="-0.107"/>
    <s v="05_Raw_Annual_Performance"/>
    <s v="C17"/>
  </r>
  <r>
    <x v="0"/>
    <x v="1"/>
    <n v="2"/>
    <x v="0"/>
    <x v="12"/>
    <s v="%"/>
    <n v="2E-3"/>
    <s v="05_Raw_Annual_Performance"/>
    <s v="D17"/>
  </r>
  <r>
    <x v="0"/>
    <x v="2"/>
    <n v="3"/>
    <x v="0"/>
    <x v="12"/>
    <s v="%"/>
    <n v="9.2999999999999999E-2"/>
    <s v="05_Raw_Annual_Performance"/>
    <s v="E17"/>
  </r>
  <r>
    <x v="0"/>
    <x v="0"/>
    <n v="1"/>
    <x v="0"/>
    <x v="13"/>
    <s v="CAD millions"/>
    <n v="20651"/>
    <s v="05_Raw_Annual_Performance"/>
    <s v="C18"/>
  </r>
  <r>
    <x v="0"/>
    <x v="1"/>
    <n v="2"/>
    <x v="0"/>
    <x v="13"/>
    <s v="CAD millions"/>
    <n v="23094"/>
    <s v="05_Raw_Annual_Performance"/>
    <s v="D18"/>
  </r>
  <r>
    <x v="0"/>
    <x v="2"/>
    <n v="3"/>
    <x v="0"/>
    <x v="13"/>
    <s v="CAD millions"/>
    <n v="30013"/>
    <s v="05_Raw_Annual_Performance"/>
    <s v="E18"/>
  </r>
  <r>
    <x v="0"/>
    <x v="0"/>
    <n v="1"/>
    <x v="0"/>
    <x v="14"/>
    <s v="%"/>
    <n v="0.19639223450475718"/>
    <s v="05_Raw_Annual_Performance"/>
    <s v="C19"/>
  </r>
  <r>
    <x v="0"/>
    <x v="1"/>
    <n v="2"/>
    <x v="0"/>
    <x v="14"/>
    <s v="%"/>
    <n v="0.1823582720773336"/>
    <s v="05_Raw_Annual_Performance"/>
    <s v="D19"/>
  </r>
  <r>
    <x v="0"/>
    <x v="2"/>
    <n v="3"/>
    <x v="0"/>
    <x v="14"/>
    <s v="%"/>
    <n v="0.20591789793770224"/>
    <s v="05_Raw_Annual_Performance"/>
    <s v="E19"/>
  </r>
  <r>
    <x v="1"/>
    <x v="3"/>
    <n v="1"/>
    <x v="0"/>
    <x v="0"/>
    <s v="CAD millions"/>
    <n v="6332"/>
    <s v="06_Raw_Quarterly_Performance"/>
    <s v="C5"/>
  </r>
  <r>
    <x v="1"/>
    <x v="4"/>
    <n v="2"/>
    <x v="0"/>
    <x v="0"/>
    <s v="CAD millions"/>
    <n v="6623"/>
    <s v="06_Raw_Quarterly_Performance"/>
    <s v="D5"/>
  </r>
  <r>
    <x v="1"/>
    <x v="5"/>
    <n v="3"/>
    <x v="0"/>
    <x v="0"/>
    <s v="CAD millions"/>
    <n v="7327"/>
    <s v="06_Raw_Quarterly_Performance"/>
    <s v="E5"/>
  </r>
  <r>
    <x v="1"/>
    <x v="6"/>
    <n v="4"/>
    <x v="0"/>
    <x v="0"/>
    <s v="CAD millions"/>
    <n v="7671"/>
    <s v="06_Raw_Quarterly_Performance"/>
    <s v="F5"/>
  </r>
  <r>
    <x v="1"/>
    <x v="7"/>
    <n v="5"/>
    <x v="0"/>
    <x v="0"/>
    <s v="CAD millions"/>
    <n v="7948"/>
    <s v="06_Raw_Quarterly_Performance"/>
    <s v="G5"/>
  </r>
  <r>
    <x v="1"/>
    <x v="8"/>
    <n v="6"/>
    <x v="0"/>
    <x v="0"/>
    <s v="CAD millions"/>
    <n v="8056"/>
    <s v="06_Raw_Quarterly_Performance"/>
    <s v="H5"/>
  </r>
  <r>
    <x v="1"/>
    <x v="9"/>
    <n v="7"/>
    <x v="0"/>
    <x v="0"/>
    <s v="CAD millions"/>
    <n v="8351"/>
    <s v="06_Raw_Quarterly_Performance"/>
    <s v="I5"/>
  </r>
  <r>
    <x v="1"/>
    <x v="10"/>
    <n v="8"/>
    <x v="0"/>
    <x v="0"/>
    <s v="CAD millions"/>
    <n v="8645"/>
    <s v="06_Raw_Quarterly_Performance"/>
    <s v="J5"/>
  </r>
  <r>
    <x v="1"/>
    <x v="11"/>
    <n v="9"/>
    <x v="0"/>
    <x v="0"/>
    <s v="CAD millions"/>
    <n v="8585"/>
    <s v="06_Raw_Quarterly_Performance"/>
    <s v="K5"/>
  </r>
  <r>
    <x v="1"/>
    <x v="12"/>
    <n v="10"/>
    <x v="0"/>
    <x v="0"/>
    <s v="CAD millions"/>
    <n v="8506"/>
    <s v="06_Raw_Quarterly_Performance"/>
    <s v="L5"/>
  </r>
  <r>
    <x v="1"/>
    <x v="3"/>
    <n v="1"/>
    <x v="0"/>
    <x v="1"/>
    <s v="CAD millions"/>
    <n v="7153"/>
    <s v="06_Raw_Quarterly_Performance"/>
    <s v="C6"/>
  </r>
  <r>
    <x v="1"/>
    <x v="4"/>
    <n v="2"/>
    <x v="0"/>
    <x v="1"/>
    <s v="CAD millions"/>
    <n v="7531"/>
    <s v="06_Raw_Quarterly_Performance"/>
    <s v="D6"/>
  </r>
  <r>
    <x v="1"/>
    <x v="5"/>
    <n v="3"/>
    <x v="0"/>
    <x v="1"/>
    <s v="CAD millions"/>
    <n v="7304"/>
    <s v="06_Raw_Quarterly_Performance"/>
    <s v="E6"/>
  </r>
  <r>
    <x v="1"/>
    <x v="6"/>
    <n v="4"/>
    <x v="0"/>
    <x v="1"/>
    <s v="CAD millions"/>
    <n v="7403"/>
    <s v="06_Raw_Quarterly_Performance"/>
    <s v="F6"/>
  </r>
  <r>
    <x v="1"/>
    <x v="7"/>
    <n v="5"/>
    <x v="0"/>
    <x v="1"/>
    <s v="CAD millions"/>
    <n v="8791"/>
    <s v="06_Raw_Quarterly_Performance"/>
    <s v="G6"/>
  </r>
  <r>
    <x v="1"/>
    <x v="8"/>
    <n v="6"/>
    <x v="0"/>
    <x v="1"/>
    <s v="CAD millions"/>
    <n v="7616"/>
    <s v="06_Raw_Quarterly_Performance"/>
    <s v="H6"/>
  </r>
  <r>
    <x v="1"/>
    <x v="9"/>
    <n v="7"/>
    <x v="0"/>
    <x v="1"/>
    <s v="CAD millions"/>
    <n v="8634"/>
    <s v="06_Raw_Quarterly_Performance"/>
    <s v="I6"/>
  </r>
  <r>
    <x v="1"/>
    <x v="10"/>
    <n v="8"/>
    <x v="0"/>
    <x v="1"/>
    <s v="CAD millions"/>
    <n v="8564"/>
    <s v="06_Raw_Quarterly_Performance"/>
    <s v="J6"/>
  </r>
  <r>
    <x v="1"/>
    <x v="11"/>
    <n v="9"/>
    <x v="0"/>
    <x v="1"/>
    <s v="CAD millions"/>
    <n v="9375"/>
    <s v="06_Raw_Quarterly_Performance"/>
    <s v="K6"/>
  </r>
  <r>
    <x v="1"/>
    <x v="12"/>
    <n v="10"/>
    <x v="0"/>
    <x v="1"/>
    <s v="CAD millions"/>
    <n v="8947"/>
    <s v="06_Raw_Quarterly_Performance"/>
    <s v="L6"/>
  </r>
  <r>
    <x v="1"/>
    <x v="3"/>
    <n v="1"/>
    <x v="0"/>
    <x v="2"/>
    <s v="CAD millions"/>
    <n v="13485"/>
    <s v="06_Raw_Quarterly_Performance"/>
    <s v="C7"/>
  </r>
  <r>
    <x v="1"/>
    <x v="4"/>
    <n v="2"/>
    <x v="0"/>
    <x v="2"/>
    <s v="CAD millions"/>
    <n v="14154"/>
    <s v="06_Raw_Quarterly_Performance"/>
    <s v="D7"/>
  </r>
  <r>
    <x v="1"/>
    <x v="5"/>
    <n v="3"/>
    <x v="0"/>
    <x v="2"/>
    <s v="CAD millions"/>
    <n v="14631"/>
    <s v="06_Raw_Quarterly_Performance"/>
    <s v="E7"/>
  </r>
  <r>
    <x v="1"/>
    <x v="6"/>
    <n v="4"/>
    <x v="0"/>
    <x v="2"/>
    <s v="CAD millions"/>
    <n v="15074"/>
    <s v="06_Raw_Quarterly_Performance"/>
    <s v="F7"/>
  </r>
  <r>
    <x v="1"/>
    <x v="7"/>
    <n v="5"/>
    <x v="0"/>
    <x v="2"/>
    <s v="CAD millions"/>
    <n v="16739"/>
    <s v="06_Raw_Quarterly_Performance"/>
    <s v="G7"/>
  </r>
  <r>
    <x v="1"/>
    <x v="8"/>
    <n v="6"/>
    <x v="0"/>
    <x v="2"/>
    <s v="CAD millions"/>
    <n v="15672"/>
    <s v="06_Raw_Quarterly_Performance"/>
    <s v="H7"/>
  </r>
  <r>
    <x v="1"/>
    <x v="9"/>
    <n v="7"/>
    <x v="0"/>
    <x v="2"/>
    <s v="CAD millions"/>
    <n v="16985"/>
    <s v="06_Raw_Quarterly_Performance"/>
    <s v="I7"/>
  </r>
  <r>
    <x v="1"/>
    <x v="10"/>
    <n v="8"/>
    <x v="0"/>
    <x v="2"/>
    <s v="CAD millions"/>
    <n v="17209"/>
    <s v="06_Raw_Quarterly_Performance"/>
    <s v="J7"/>
  </r>
  <r>
    <x v="1"/>
    <x v="11"/>
    <n v="9"/>
    <x v="0"/>
    <x v="2"/>
    <s v="CAD millions"/>
    <n v="17960"/>
    <s v="06_Raw_Quarterly_Performance"/>
    <s v="K7"/>
  </r>
  <r>
    <x v="1"/>
    <x v="12"/>
    <n v="10"/>
    <x v="0"/>
    <x v="2"/>
    <s v="CAD millions"/>
    <n v="17453"/>
    <s v="06_Raw_Quarterly_Performance"/>
    <s v="L7"/>
  </r>
  <r>
    <x v="1"/>
    <x v="3"/>
    <n v="1"/>
    <x v="0"/>
    <x v="3"/>
    <s v="CAD millions"/>
    <n v="813"/>
    <s v="06_Raw_Quarterly_Performance"/>
    <s v="C8"/>
  </r>
  <r>
    <x v="1"/>
    <x v="4"/>
    <n v="2"/>
    <x v="0"/>
    <x v="3"/>
    <s v="CAD millions"/>
    <n v="920"/>
    <s v="06_Raw_Quarterly_Performance"/>
    <s v="D8"/>
  </r>
  <r>
    <x v="1"/>
    <x v="5"/>
    <n v="3"/>
    <x v="0"/>
    <x v="3"/>
    <s v="CAD millions"/>
    <n v="659"/>
    <s v="06_Raw_Quarterly_Performance"/>
    <s v="E8"/>
  </r>
  <r>
    <x v="1"/>
    <x v="6"/>
    <n v="4"/>
    <x v="0"/>
    <x v="3"/>
    <s v="CAD millions"/>
    <n v="840"/>
    <s v="06_Raw_Quarterly_Performance"/>
    <s v="F8"/>
  </r>
  <r>
    <x v="1"/>
    <x v="7"/>
    <n v="5"/>
    <x v="0"/>
    <x v="3"/>
    <s v="CAD millions"/>
    <n v="1050"/>
    <s v="06_Raw_Quarterly_Performance"/>
    <s v="G8"/>
  </r>
  <r>
    <x v="1"/>
    <x v="8"/>
    <n v="6"/>
    <x v="0"/>
    <x v="3"/>
    <s v="CAD millions"/>
    <n v="1424"/>
    <s v="06_Raw_Quarterly_Performance"/>
    <s v="H8"/>
  </r>
  <r>
    <x v="1"/>
    <x v="9"/>
    <n v="7"/>
    <x v="0"/>
    <x v="3"/>
    <s v="CAD millions"/>
    <n v="881"/>
    <s v="06_Raw_Quarterly_Performance"/>
    <s v="I8"/>
  </r>
  <r>
    <x v="1"/>
    <x v="10"/>
    <n v="8"/>
    <x v="0"/>
    <x v="3"/>
    <s v="CAD millions"/>
    <n v="1007"/>
    <s v="06_Raw_Quarterly_Performance"/>
    <s v="J8"/>
  </r>
  <r>
    <x v="1"/>
    <x v="11"/>
    <n v="9"/>
    <x v="0"/>
    <x v="3"/>
    <s v="CAD millions"/>
    <n v="1090"/>
    <s v="06_Raw_Quarterly_Performance"/>
    <s v="K8"/>
  </r>
  <r>
    <x v="1"/>
    <x v="12"/>
    <n v="10"/>
    <x v="0"/>
    <x v="3"/>
    <s v="CAD millions"/>
    <n v="912"/>
    <s v="06_Raw_Quarterly_Performance"/>
    <s v="L8"/>
  </r>
  <r>
    <x v="1"/>
    <x v="3"/>
    <n v="1"/>
    <x v="0"/>
    <x v="4"/>
    <s v="CAD millions"/>
    <n v="8324"/>
    <s v="06_Raw_Quarterly_Performance"/>
    <s v="C9"/>
  </r>
  <r>
    <x v="1"/>
    <x v="4"/>
    <n v="2"/>
    <x v="0"/>
    <x v="4"/>
    <s v="CAD millions"/>
    <n v="8308"/>
    <s v="06_Raw_Quarterly_Performance"/>
    <s v="D9"/>
  </r>
  <r>
    <x v="1"/>
    <x v="5"/>
    <n v="3"/>
    <x v="0"/>
    <x v="4"/>
    <s v="CAD millions"/>
    <n v="8599"/>
    <s v="06_Raw_Quarterly_Performance"/>
    <s v="E9"/>
  </r>
  <r>
    <x v="1"/>
    <x v="6"/>
    <n v="4"/>
    <x v="0"/>
    <x v="4"/>
    <s v="CAD millions"/>
    <n v="9019"/>
    <s v="06_Raw_Quarterly_Performance"/>
    <s v="F9"/>
  </r>
  <r>
    <x v="1"/>
    <x v="7"/>
    <n v="5"/>
    <x v="0"/>
    <x v="4"/>
    <s v="CAD millions"/>
    <n v="9256"/>
    <s v="06_Raw_Quarterly_Performance"/>
    <s v="G9"/>
  </r>
  <r>
    <x v="1"/>
    <x v="8"/>
    <n v="6"/>
    <x v="0"/>
    <x v="4"/>
    <s v="CAD millions"/>
    <n v="8730"/>
    <s v="06_Raw_Quarterly_Performance"/>
    <s v="H9"/>
  </r>
  <r>
    <x v="1"/>
    <x v="9"/>
    <n v="7"/>
    <x v="0"/>
    <x v="4"/>
    <s v="CAD millions"/>
    <n v="9232"/>
    <s v="06_Raw_Quarterly_Performance"/>
    <s v="I9"/>
  </r>
  <r>
    <x v="1"/>
    <x v="10"/>
    <n v="8"/>
    <x v="0"/>
    <x v="4"/>
    <s v="CAD millions"/>
    <n v="9374"/>
    <s v="06_Raw_Quarterly_Performance"/>
    <s v="J9"/>
  </r>
  <r>
    <x v="1"/>
    <x v="11"/>
    <n v="9"/>
    <x v="0"/>
    <x v="4"/>
    <s v="CAD millions"/>
    <n v="9463"/>
    <s v="06_Raw_Quarterly_Performance"/>
    <s v="K9"/>
  </r>
  <r>
    <x v="1"/>
    <x v="12"/>
    <n v="10"/>
    <x v="0"/>
    <x v="4"/>
    <s v="CAD millions"/>
    <n v="9437"/>
    <s v="06_Raw_Quarterly_Performance"/>
    <s v="L9"/>
  </r>
  <r>
    <x v="1"/>
    <x v="3"/>
    <n v="1"/>
    <x v="0"/>
    <x v="5"/>
    <s v="CAD millions"/>
    <n v="4348"/>
    <s v="06_Raw_Quarterly_Performance"/>
    <s v="C10"/>
  </r>
  <r>
    <x v="1"/>
    <x v="4"/>
    <n v="2"/>
    <x v="0"/>
    <x v="5"/>
    <s v="CAD millions"/>
    <n v="4926"/>
    <s v="06_Raw_Quarterly_Performance"/>
    <s v="D10"/>
  </r>
  <r>
    <x v="1"/>
    <x v="5"/>
    <n v="3"/>
    <x v="0"/>
    <x v="5"/>
    <s v="CAD millions"/>
    <n v="5373"/>
    <s v="06_Raw_Quarterly_Performance"/>
    <s v="E10"/>
  </r>
  <r>
    <x v="1"/>
    <x v="6"/>
    <n v="4"/>
    <x v="0"/>
    <x v="5"/>
    <s v="CAD millions"/>
    <n v="5215"/>
    <s v="06_Raw_Quarterly_Performance"/>
    <s v="F10"/>
  </r>
  <r>
    <x v="1"/>
    <x v="7"/>
    <n v="5"/>
    <x v="0"/>
    <x v="5"/>
    <s v="CAD millions"/>
    <n v="6433"/>
    <s v="06_Raw_Quarterly_Performance"/>
    <s v="G10"/>
  </r>
  <r>
    <x v="1"/>
    <x v="8"/>
    <n v="6"/>
    <x v="0"/>
    <x v="5"/>
    <s v="CAD millions"/>
    <n v="5518"/>
    <s v="06_Raw_Quarterly_Performance"/>
    <s v="H10"/>
  </r>
  <r>
    <x v="1"/>
    <x v="9"/>
    <n v="7"/>
    <x v="0"/>
    <x v="5"/>
    <s v="CAD millions"/>
    <n v="6872"/>
    <s v="06_Raw_Quarterly_Performance"/>
    <s v="I10"/>
  </r>
  <r>
    <x v="1"/>
    <x v="10"/>
    <n v="8"/>
    <x v="0"/>
    <x v="5"/>
    <s v="CAD millions"/>
    <n v="6828"/>
    <s v="06_Raw_Quarterly_Performance"/>
    <s v="J10"/>
  </r>
  <r>
    <x v="1"/>
    <x v="11"/>
    <n v="9"/>
    <x v="0"/>
    <x v="5"/>
    <s v="CAD millions"/>
    <n v="7407"/>
    <s v="06_Raw_Quarterly_Performance"/>
    <s v="K10"/>
  </r>
  <r>
    <x v="1"/>
    <x v="12"/>
    <n v="10"/>
    <x v="0"/>
    <x v="5"/>
    <s v="CAD millions"/>
    <n v="7104"/>
    <s v="06_Raw_Quarterly_Performance"/>
    <s v="L10"/>
  </r>
  <r>
    <x v="1"/>
    <x v="3"/>
    <n v="1"/>
    <x v="0"/>
    <x v="6"/>
    <s v="CAD millions"/>
    <n v="766"/>
    <s v="06_Raw_Quarterly_Performance"/>
    <s v="C11"/>
  </r>
  <r>
    <x v="1"/>
    <x v="4"/>
    <n v="2"/>
    <x v="0"/>
    <x v="6"/>
    <s v="CAD millions"/>
    <n v="976"/>
    <s v="06_Raw_Quarterly_Performance"/>
    <s v="D11"/>
  </r>
  <r>
    <x v="1"/>
    <x v="5"/>
    <n v="3"/>
    <x v="0"/>
    <x v="6"/>
    <s v="CAD millions"/>
    <n v="887"/>
    <s v="06_Raw_Quarterly_Performance"/>
    <s v="E11"/>
  </r>
  <r>
    <x v="1"/>
    <x v="6"/>
    <n v="4"/>
    <x v="0"/>
    <x v="6"/>
    <s v="CAD millions"/>
    <n v="993"/>
    <s v="06_Raw_Quarterly_Performance"/>
    <s v="F11"/>
  </r>
  <r>
    <x v="1"/>
    <x v="7"/>
    <n v="5"/>
    <x v="0"/>
    <x v="6"/>
    <s v="CAD millions"/>
    <n v="1302"/>
    <s v="06_Raw_Quarterly_Performance"/>
    <s v="G11"/>
  </r>
  <r>
    <x v="1"/>
    <x v="8"/>
    <n v="6"/>
    <x v="0"/>
    <x v="6"/>
    <s v="CAD millions"/>
    <n v="1128"/>
    <s v="06_Raw_Quarterly_Performance"/>
    <s v="H11"/>
  </r>
  <r>
    <x v="1"/>
    <x v="9"/>
    <n v="7"/>
    <x v="0"/>
    <x v="6"/>
    <s v="CAD millions"/>
    <n v="1458"/>
    <s v="06_Raw_Quarterly_Performance"/>
    <s v="I11"/>
  </r>
  <r>
    <x v="1"/>
    <x v="10"/>
    <n v="8"/>
    <x v="0"/>
    <x v="6"/>
    <s v="CAD millions"/>
    <n v="1394"/>
    <s v="06_Raw_Quarterly_Performance"/>
    <s v="J11"/>
  </r>
  <r>
    <x v="1"/>
    <x v="11"/>
    <n v="9"/>
    <x v="0"/>
    <x v="6"/>
    <s v="CAD millions"/>
    <n v="1622"/>
    <s v="06_Raw_Quarterly_Performance"/>
    <s v="K11"/>
  </r>
  <r>
    <x v="1"/>
    <x v="12"/>
    <n v="10"/>
    <x v="0"/>
    <x v="6"/>
    <s v="CAD millions"/>
    <n v="1595"/>
    <s v="06_Raw_Quarterly_Performance"/>
    <s v="L11"/>
  </r>
  <r>
    <x v="1"/>
    <x v="3"/>
    <n v="1"/>
    <x v="0"/>
    <x v="7"/>
    <s v="CAD millions"/>
    <n v="3582"/>
    <s v="06_Raw_Quarterly_Performance"/>
    <s v="C12"/>
  </r>
  <r>
    <x v="1"/>
    <x v="4"/>
    <n v="2"/>
    <x v="0"/>
    <x v="7"/>
    <s v="CAD millions"/>
    <n v="3950"/>
    <s v="06_Raw_Quarterly_Performance"/>
    <s v="D12"/>
  </r>
  <r>
    <x v="1"/>
    <x v="5"/>
    <n v="3"/>
    <x v="0"/>
    <x v="7"/>
    <s v="CAD millions"/>
    <n v="4486"/>
    <s v="06_Raw_Quarterly_Performance"/>
    <s v="E12"/>
  </r>
  <r>
    <x v="1"/>
    <x v="6"/>
    <n v="4"/>
    <x v="0"/>
    <x v="7"/>
    <s v="CAD millions"/>
    <n v="4222"/>
    <s v="06_Raw_Quarterly_Performance"/>
    <s v="F12"/>
  </r>
  <r>
    <x v="1"/>
    <x v="7"/>
    <n v="5"/>
    <x v="0"/>
    <x v="7"/>
    <s v="CAD millions"/>
    <n v="5131"/>
    <s v="06_Raw_Quarterly_Performance"/>
    <s v="G12"/>
  </r>
  <r>
    <x v="1"/>
    <x v="8"/>
    <n v="6"/>
    <x v="0"/>
    <x v="7"/>
    <s v="CAD millions"/>
    <n v="4390"/>
    <s v="06_Raw_Quarterly_Performance"/>
    <s v="H12"/>
  </r>
  <r>
    <x v="1"/>
    <x v="9"/>
    <n v="7"/>
    <x v="0"/>
    <x v="7"/>
    <s v="CAD millions"/>
    <n v="5414"/>
    <s v="06_Raw_Quarterly_Performance"/>
    <s v="I12"/>
  </r>
  <r>
    <x v="1"/>
    <x v="10"/>
    <n v="8"/>
    <x v="0"/>
    <x v="7"/>
    <s v="CAD millions"/>
    <n v="5434"/>
    <s v="06_Raw_Quarterly_Performance"/>
    <s v="J12"/>
  </r>
  <r>
    <x v="1"/>
    <x v="11"/>
    <n v="9"/>
    <x v="0"/>
    <x v="7"/>
    <s v="CAD millions"/>
    <n v="5785"/>
    <s v="06_Raw_Quarterly_Performance"/>
    <s v="K12"/>
  </r>
  <r>
    <x v="1"/>
    <x v="12"/>
    <n v="10"/>
    <x v="0"/>
    <x v="7"/>
    <s v="CAD millions"/>
    <n v="5509"/>
    <s v="06_Raw_Quarterly_Performance"/>
    <s v="L12"/>
  </r>
  <r>
    <x v="1"/>
    <x v="3"/>
    <n v="1"/>
    <x v="0"/>
    <x v="8"/>
    <s v="CAD millions"/>
    <n v="3522"/>
    <s v="06_Raw_Quarterly_Performance"/>
    <s v="C13"/>
  </r>
  <r>
    <x v="1"/>
    <x v="4"/>
    <n v="2"/>
    <x v="0"/>
    <x v="8"/>
    <s v="CAD millions"/>
    <n v="3881"/>
    <s v="06_Raw_Quarterly_Performance"/>
    <s v="D13"/>
  </r>
  <r>
    <x v="1"/>
    <x v="5"/>
    <n v="3"/>
    <x v="0"/>
    <x v="8"/>
    <s v="CAD millions"/>
    <n v="4377"/>
    <s v="06_Raw_Quarterly_Performance"/>
    <s v="E13"/>
  </r>
  <r>
    <x v="1"/>
    <x v="6"/>
    <n v="4"/>
    <x v="0"/>
    <x v="8"/>
    <s v="CAD millions"/>
    <n v="4128"/>
    <s v="06_Raw_Quarterly_Performance"/>
    <s v="F13"/>
  </r>
  <r>
    <x v="1"/>
    <x v="7"/>
    <n v="5"/>
    <x v="0"/>
    <x v="8"/>
    <s v="CAD millions"/>
    <n v="5011"/>
    <s v="06_Raw_Quarterly_Performance"/>
    <s v="G13"/>
  </r>
  <r>
    <x v="1"/>
    <x v="8"/>
    <n v="6"/>
    <x v="0"/>
    <x v="8"/>
    <s v="CAD millions"/>
    <n v="4274"/>
    <s v="06_Raw_Quarterly_Performance"/>
    <s v="H13"/>
  </r>
  <r>
    <x v="1"/>
    <x v="9"/>
    <n v="7"/>
    <x v="0"/>
    <x v="8"/>
    <s v="CAD millions"/>
    <n v="5290"/>
    <s v="06_Raw_Quarterly_Performance"/>
    <s v="I13"/>
  </r>
  <r>
    <x v="1"/>
    <x v="10"/>
    <n v="8"/>
    <x v="0"/>
    <x v="8"/>
    <s v="CAD millions"/>
    <n v="5293"/>
    <s v="06_Raw_Quarterly_Performance"/>
    <s v="J13"/>
  </r>
  <r>
    <x v="1"/>
    <x v="11"/>
    <n v="9"/>
    <x v="0"/>
    <x v="8"/>
    <s v="CAD millions"/>
    <n v="5643"/>
    <s v="06_Raw_Quarterly_Performance"/>
    <s v="K13"/>
  </r>
  <r>
    <x v="1"/>
    <x v="12"/>
    <n v="10"/>
    <x v="0"/>
    <x v="8"/>
    <s v="CAD millions"/>
    <n v="5372"/>
    <s v="06_Raw_Quarterly_Performance"/>
    <s v="L13"/>
  </r>
  <r>
    <x v="1"/>
    <x v="3"/>
    <n v="1"/>
    <x v="0"/>
    <x v="9"/>
    <s v="CAD per share"/>
    <n v="2.5"/>
    <s v="06_Raw_Quarterly_Performance"/>
    <s v="C14"/>
  </r>
  <r>
    <x v="1"/>
    <x v="4"/>
    <n v="2"/>
    <x v="0"/>
    <x v="9"/>
    <s v="CAD per share"/>
    <n v="2.74"/>
    <s v="06_Raw_Quarterly_Performance"/>
    <s v="D14"/>
  </r>
  <r>
    <x v="1"/>
    <x v="5"/>
    <n v="3"/>
    <x v="0"/>
    <x v="9"/>
    <s v="CAD per share"/>
    <n v="3.09"/>
    <s v="06_Raw_Quarterly_Performance"/>
    <s v="E14"/>
  </r>
  <r>
    <x v="1"/>
    <x v="6"/>
    <n v="4"/>
    <x v="0"/>
    <x v="9"/>
    <s v="CAD per share"/>
    <n v="2.91"/>
    <s v="06_Raw_Quarterly_Performance"/>
    <s v="F14"/>
  </r>
  <r>
    <x v="1"/>
    <x v="7"/>
    <n v="5"/>
    <x v="0"/>
    <x v="9"/>
    <s v="CAD per share"/>
    <n v="3.54"/>
    <s v="06_Raw_Quarterly_Performance"/>
    <s v="G14"/>
  </r>
  <r>
    <x v="1"/>
    <x v="8"/>
    <n v="6"/>
    <x v="0"/>
    <x v="9"/>
    <s v="CAD per share"/>
    <n v="3.02"/>
    <s v="06_Raw_Quarterly_Performance"/>
    <s v="H14"/>
  </r>
  <r>
    <x v="1"/>
    <x v="9"/>
    <n v="7"/>
    <x v="0"/>
    <x v="9"/>
    <s v="CAD per share"/>
    <n v="3.75"/>
    <s v="06_Raw_Quarterly_Performance"/>
    <s v="I14"/>
  </r>
  <r>
    <x v="1"/>
    <x v="10"/>
    <n v="8"/>
    <x v="0"/>
    <x v="9"/>
    <s v="CAD per share"/>
    <n v="3.76"/>
    <s v="06_Raw_Quarterly_Performance"/>
    <s v="J14"/>
  </r>
  <r>
    <x v="1"/>
    <x v="11"/>
    <n v="9"/>
    <x v="0"/>
    <x v="9"/>
    <s v="CAD per share"/>
    <n v="4.03"/>
    <s v="06_Raw_Quarterly_Performance"/>
    <s v="K14"/>
  </r>
  <r>
    <x v="1"/>
    <x v="12"/>
    <n v="10"/>
    <x v="0"/>
    <x v="9"/>
    <s v="CAD per share"/>
    <n v="3.85"/>
    <s v="06_Raw_Quarterly_Performance"/>
    <s v="L14"/>
  </r>
  <r>
    <x v="1"/>
    <x v="3"/>
    <n v="1"/>
    <x v="0"/>
    <x v="10"/>
    <s v="%"/>
    <n v="0.13100000000000001"/>
    <s v="06_Raw_Quarterly_Performance"/>
    <s v="C15"/>
  </r>
  <r>
    <x v="1"/>
    <x v="4"/>
    <n v="2"/>
    <x v="0"/>
    <x v="10"/>
    <s v="%"/>
    <n v="0.14499999999999999"/>
    <s v="06_Raw_Quarterly_Performance"/>
    <s v="D15"/>
  </r>
  <r>
    <x v="1"/>
    <x v="5"/>
    <n v="3"/>
    <x v="0"/>
    <x v="10"/>
    <s v="%"/>
    <n v="0.155"/>
    <s v="06_Raw_Quarterly_Performance"/>
    <s v="E15"/>
  </r>
  <r>
    <x v="1"/>
    <x v="6"/>
    <n v="4"/>
    <x v="0"/>
    <x v="10"/>
    <s v="%"/>
    <n v="0.14299999999999999"/>
    <s v="06_Raw_Quarterly_Performance"/>
    <s v="F15"/>
  </r>
  <r>
    <x v="1"/>
    <x v="7"/>
    <n v="5"/>
    <x v="0"/>
    <x v="10"/>
    <s v="%"/>
    <n v="0.16800000000000001"/>
    <s v="06_Raw_Quarterly_Performance"/>
    <s v="G15"/>
  </r>
  <r>
    <x v="1"/>
    <x v="8"/>
    <n v="6"/>
    <x v="0"/>
    <x v="10"/>
    <s v="%"/>
    <n v="0.14199999999999999"/>
    <s v="06_Raw_Quarterly_Performance"/>
    <s v="H15"/>
  </r>
  <r>
    <x v="1"/>
    <x v="9"/>
    <n v="7"/>
    <x v="0"/>
    <x v="10"/>
    <s v="%"/>
    <n v="0.17299999999999999"/>
    <s v="06_Raw_Quarterly_Performance"/>
    <s v="I15"/>
  </r>
  <r>
    <x v="1"/>
    <x v="10"/>
    <n v="8"/>
    <x v="0"/>
    <x v="10"/>
    <s v="%"/>
    <n v="0.16800000000000001"/>
    <s v="06_Raw_Quarterly_Performance"/>
    <s v="J15"/>
  </r>
  <r>
    <x v="1"/>
    <x v="11"/>
    <n v="9"/>
    <x v="0"/>
    <x v="10"/>
    <s v="%"/>
    <n v="0.17599999999999999"/>
    <s v="06_Raw_Quarterly_Performance"/>
    <s v="K15"/>
  </r>
  <r>
    <x v="1"/>
    <x v="12"/>
    <n v="10"/>
    <x v="0"/>
    <x v="10"/>
    <s v="%"/>
    <n v="0.17199999999999999"/>
    <s v="06_Raw_Quarterly_Performance"/>
    <s v="L15"/>
  </r>
  <r>
    <x v="1"/>
    <x v="3"/>
    <n v="1"/>
    <x v="0"/>
    <x v="11"/>
    <s v="%"/>
    <n v="0.61699999999999999"/>
    <s v="06_Raw_Quarterly_Performance"/>
    <s v="C16"/>
  </r>
  <r>
    <x v="1"/>
    <x v="4"/>
    <n v="2"/>
    <x v="0"/>
    <x v="11"/>
    <s v="%"/>
    <n v="0.58699999999999997"/>
    <s v="06_Raw_Quarterly_Performance"/>
    <s v="D16"/>
  </r>
  <r>
    <x v="1"/>
    <x v="5"/>
    <n v="3"/>
    <x v="0"/>
    <x v="11"/>
    <s v="%"/>
    <n v="0.58799999999999997"/>
    <s v="06_Raw_Quarterly_Performance"/>
    <s v="E16"/>
  </r>
  <r>
    <x v="1"/>
    <x v="6"/>
    <n v="4"/>
    <x v="0"/>
    <x v="11"/>
    <s v="%"/>
    <n v="0.59799999999999998"/>
    <s v="06_Raw_Quarterly_Performance"/>
    <s v="F16"/>
  </r>
  <r>
    <x v="1"/>
    <x v="7"/>
    <n v="5"/>
    <x v="0"/>
    <x v="11"/>
    <s v="%"/>
    <n v="0.55300000000000005"/>
    <s v="06_Raw_Quarterly_Performance"/>
    <s v="G16"/>
  </r>
  <r>
    <x v="1"/>
    <x v="8"/>
    <n v="6"/>
    <x v="0"/>
    <x v="11"/>
    <s v="%"/>
    <n v="0.55700000000000005"/>
    <s v="06_Raw_Quarterly_Performance"/>
    <s v="H16"/>
  </r>
  <r>
    <x v="1"/>
    <x v="9"/>
    <n v="7"/>
    <x v="0"/>
    <x v="11"/>
    <s v="%"/>
    <n v="0.54400000000000004"/>
    <s v="06_Raw_Quarterly_Performance"/>
    <s v="I16"/>
  </r>
  <r>
    <x v="1"/>
    <x v="10"/>
    <n v="8"/>
    <x v="0"/>
    <x v="11"/>
    <s v="%"/>
    <n v="0.54500000000000004"/>
    <s v="06_Raw_Quarterly_Performance"/>
    <s v="J16"/>
  </r>
  <r>
    <x v="1"/>
    <x v="11"/>
    <n v="9"/>
    <x v="0"/>
    <x v="11"/>
    <s v="%"/>
    <n v="0.52700000000000002"/>
    <s v="06_Raw_Quarterly_Performance"/>
    <s v="K16"/>
  </r>
  <r>
    <x v="1"/>
    <x v="12"/>
    <n v="10"/>
    <x v="0"/>
    <x v="11"/>
    <s v="%"/>
    <n v="0.54100000000000004"/>
    <s v="06_Raw_Quarterly_Performance"/>
    <s v="L16"/>
  </r>
  <r>
    <x v="1"/>
    <x v="3"/>
    <n v="1"/>
    <x v="0"/>
    <x v="12"/>
    <s v="%"/>
    <n v="-8.6999999999999994E-2"/>
    <s v="06_Raw_Quarterly_Performance"/>
    <s v="C17"/>
  </r>
  <r>
    <x v="1"/>
    <x v="4"/>
    <n v="2"/>
    <x v="0"/>
    <x v="12"/>
    <s v="%"/>
    <n v="1.4E-2"/>
    <s v="06_Raw_Quarterly_Performance"/>
    <s v="D17"/>
  </r>
  <r>
    <x v="1"/>
    <x v="5"/>
    <n v="3"/>
    <x v="0"/>
    <x v="12"/>
    <s v="%"/>
    <n v="0.02"/>
    <s v="06_Raw_Quarterly_Performance"/>
    <s v="E17"/>
  </r>
  <r>
    <x v="1"/>
    <x v="6"/>
    <n v="4"/>
    <x v="0"/>
    <x v="12"/>
    <s v="%"/>
    <n v="6.9000000000000006E-2"/>
    <s v="06_Raw_Quarterly_Performance"/>
    <s v="F17"/>
  </r>
  <r>
    <x v="1"/>
    <x v="7"/>
    <n v="5"/>
    <x v="0"/>
    <x v="12"/>
    <s v="%"/>
    <n v="0.129"/>
    <s v="06_Raw_Quarterly_Performance"/>
    <s v="G17"/>
  </r>
  <r>
    <x v="1"/>
    <x v="8"/>
    <n v="6"/>
    <x v="0"/>
    <x v="12"/>
    <s v="%"/>
    <n v="5.6000000000000001E-2"/>
    <s v="06_Raw_Quarterly_Performance"/>
    <s v="H17"/>
  </r>
  <r>
    <x v="1"/>
    <x v="9"/>
    <n v="7"/>
    <x v="0"/>
    <x v="12"/>
    <s v="%"/>
    <n v="8.6999999999999994E-2"/>
    <s v="06_Raw_Quarterly_Performance"/>
    <s v="I17"/>
  </r>
  <r>
    <x v="1"/>
    <x v="10"/>
    <n v="8"/>
    <x v="0"/>
    <x v="12"/>
    <s v="%"/>
    <n v="0.10299999999999999"/>
    <s v="06_Raw_Quarterly_Performance"/>
    <s v="J17"/>
  </r>
  <r>
    <x v="1"/>
    <x v="11"/>
    <n v="9"/>
    <x v="0"/>
    <x v="12"/>
    <s v="%"/>
    <n v="5.0999999999999997E-2"/>
    <s v="06_Raw_Quarterly_Performance"/>
    <s v="K17"/>
  </r>
  <r>
    <x v="1"/>
    <x v="12"/>
    <n v="10"/>
    <x v="0"/>
    <x v="12"/>
    <s v="%"/>
    <n v="3.3000000000000002E-2"/>
    <s v="06_Raw_Quarterly_Performance"/>
    <s v="L17"/>
  </r>
  <r>
    <x v="1"/>
    <x v="3"/>
    <n v="1"/>
    <x v="0"/>
    <x v="13"/>
    <s v="CAD millions"/>
    <n v="5161"/>
    <s v="06_Raw_Quarterly_Performance"/>
    <s v="C18"/>
  </r>
  <r>
    <x v="1"/>
    <x v="4"/>
    <n v="2"/>
    <x v="0"/>
    <x v="13"/>
    <s v="CAD millions"/>
    <n v="5846"/>
    <s v="06_Raw_Quarterly_Performance"/>
    <s v="D18"/>
  </r>
  <r>
    <x v="1"/>
    <x v="5"/>
    <n v="3"/>
    <x v="0"/>
    <x v="13"/>
    <s v="CAD millions"/>
    <n v="6032"/>
    <s v="06_Raw_Quarterly_Performance"/>
    <s v="E18"/>
  </r>
  <r>
    <x v="1"/>
    <x v="6"/>
    <n v="4"/>
    <x v="0"/>
    <x v="13"/>
    <s v="CAD millions"/>
    <n v="6055"/>
    <s v="06_Raw_Quarterly_Performance"/>
    <s v="F18"/>
  </r>
  <r>
    <x v="1"/>
    <x v="7"/>
    <n v="5"/>
    <x v="0"/>
    <x v="13"/>
    <s v="CAD millions"/>
    <n v="7483"/>
    <s v="06_Raw_Quarterly_Performance"/>
    <s v="G18"/>
  </r>
  <r>
    <x v="1"/>
    <x v="8"/>
    <n v="6"/>
    <x v="0"/>
    <x v="13"/>
    <s v="CAD millions"/>
    <n v="6942"/>
    <s v="06_Raw_Quarterly_Performance"/>
    <s v="H18"/>
  </r>
  <r>
    <x v="1"/>
    <x v="9"/>
    <n v="7"/>
    <x v="0"/>
    <x v="13"/>
    <s v="CAD millions"/>
    <n v="7753"/>
    <s v="06_Raw_Quarterly_Performance"/>
    <s v="I18"/>
  </r>
  <r>
    <x v="1"/>
    <x v="10"/>
    <n v="8"/>
    <x v="0"/>
    <x v="13"/>
    <s v="CAD millions"/>
    <n v="7835"/>
    <s v="06_Raw_Quarterly_Performance"/>
    <s v="J18"/>
  </r>
  <r>
    <x v="1"/>
    <x v="11"/>
    <n v="9"/>
    <x v="0"/>
    <x v="13"/>
    <s v="CAD millions"/>
    <n v="8497"/>
    <s v="06_Raw_Quarterly_Performance"/>
    <s v="K18"/>
  </r>
  <r>
    <x v="1"/>
    <x v="12"/>
    <n v="10"/>
    <x v="0"/>
    <x v="13"/>
    <s v="CAD millions"/>
    <n v="8016"/>
    <s v="06_Raw_Quarterly_Performance"/>
    <s v="L18"/>
  </r>
  <r>
    <x v="1"/>
    <x v="3"/>
    <n v="1"/>
    <x v="0"/>
    <x v="14"/>
    <s v="%"/>
    <n v="0.17617295308187672"/>
    <s v="06_Raw_Quarterly_Performance"/>
    <s v="C19"/>
  </r>
  <r>
    <x v="1"/>
    <x v="4"/>
    <n v="2"/>
    <x v="0"/>
    <x v="14"/>
    <s v="%"/>
    <n v="0.19813235891189607"/>
    <s v="06_Raw_Quarterly_Performance"/>
    <s v="D19"/>
  </r>
  <r>
    <x v="1"/>
    <x v="5"/>
    <n v="3"/>
    <x v="0"/>
    <x v="14"/>
    <s v="%"/>
    <n v="0.16508468267262238"/>
    <s v="06_Raw_Quarterly_Performance"/>
    <s v="E19"/>
  </r>
  <r>
    <x v="1"/>
    <x v="6"/>
    <n v="4"/>
    <x v="0"/>
    <x v="14"/>
    <s v="%"/>
    <n v="0.19041227229146693"/>
    <s v="06_Raw_Quarterly_Performance"/>
    <s v="F19"/>
  </r>
  <r>
    <x v="1"/>
    <x v="7"/>
    <n v="5"/>
    <x v="0"/>
    <x v="14"/>
    <s v="%"/>
    <n v="0.20239390642002175"/>
    <s v="06_Raw_Quarterly_Performance"/>
    <s v="G19"/>
  </r>
  <r>
    <x v="1"/>
    <x v="8"/>
    <n v="6"/>
    <x v="0"/>
    <x v="14"/>
    <s v="%"/>
    <n v="0.20442189198985139"/>
    <s v="06_Raw_Quarterly_Performance"/>
    <s v="H19"/>
  </r>
  <r>
    <x v="1"/>
    <x v="9"/>
    <n v="7"/>
    <x v="0"/>
    <x v="14"/>
    <s v="%"/>
    <n v="0.2121653084982538"/>
    <s v="06_Raw_Quarterly_Performance"/>
    <s v="I19"/>
  </r>
  <r>
    <x v="1"/>
    <x v="10"/>
    <n v="8"/>
    <x v="0"/>
    <x v="14"/>
    <s v="%"/>
    <n v="0.2041593438781488"/>
    <s v="06_Raw_Quarterly_Performance"/>
    <s v="J19"/>
  </r>
  <r>
    <x v="1"/>
    <x v="11"/>
    <n v="9"/>
    <x v="0"/>
    <x v="14"/>
    <s v="%"/>
    <n v="0.21898204401242069"/>
    <s v="06_Raw_Quarterly_Performance"/>
    <s v="K19"/>
  </r>
  <r>
    <x v="1"/>
    <x v="12"/>
    <n v="10"/>
    <x v="0"/>
    <x v="14"/>
    <s v="%"/>
    <n v="0.2245213963963964"/>
    <s v="06_Raw_Quarterly_Performance"/>
    <s v="L19"/>
  </r>
  <r>
    <x v="2"/>
    <x v="0"/>
    <n v="1"/>
    <x v="1"/>
    <x v="2"/>
    <s v="CAD millions"/>
    <n v="15471"/>
    <s v="10_Raw_Segment_Results"/>
    <s v="C5"/>
  </r>
  <r>
    <x v="2"/>
    <x v="0"/>
    <n v="1"/>
    <x v="1"/>
    <x v="0"/>
    <s v="CAD millions"/>
    <n v="10945"/>
    <s v="10_Raw_Segment_Results"/>
    <s v="D5"/>
  </r>
  <r>
    <x v="2"/>
    <x v="0"/>
    <n v="1"/>
    <x v="1"/>
    <x v="1"/>
    <s v="CAD millions"/>
    <n v="4526"/>
    <s v="10_Raw_Segment_Results"/>
    <s v="E5"/>
  </r>
  <r>
    <x v="2"/>
    <x v="0"/>
    <n v="1"/>
    <x v="1"/>
    <x v="15"/>
    <s v="CAD millions"/>
    <n v="1264"/>
    <s v="10_Raw_Segment_Results"/>
    <s v="F5"/>
  </r>
  <r>
    <x v="2"/>
    <x v="0"/>
    <n v="1"/>
    <x v="1"/>
    <x v="4"/>
    <s v="CAD millions"/>
    <n v="6813"/>
    <s v="10_Raw_Segment_Results"/>
    <s v="G5"/>
  </r>
  <r>
    <x v="2"/>
    <x v="0"/>
    <n v="1"/>
    <x v="1"/>
    <x v="7"/>
    <s v="CAD millions"/>
    <n v="5418"/>
    <s v="10_Raw_Segment_Results"/>
    <s v="H5"/>
  </r>
  <r>
    <x v="2"/>
    <x v="0"/>
    <n v="1"/>
    <x v="1"/>
    <x v="10"/>
    <s v="%"/>
    <n v="0.28899999999999998"/>
    <s v="10_Raw_Segment_Results"/>
    <s v="I5"/>
  </r>
  <r>
    <x v="2"/>
    <x v="0"/>
    <n v="1"/>
    <x v="1"/>
    <x v="11"/>
    <s v="%"/>
    <n v="0.44"/>
    <s v="10_Raw_Segment_Results"/>
    <s v="J5"/>
  </r>
  <r>
    <x v="2"/>
    <x v="0"/>
    <n v="1"/>
    <x v="2"/>
    <x v="2"/>
    <s v="CAD millions"/>
    <n v="6032"/>
    <s v="10_Raw_Segment_Results"/>
    <s v="C6"/>
  </r>
  <r>
    <x v="2"/>
    <x v="0"/>
    <n v="1"/>
    <x v="2"/>
    <x v="0"/>
    <s v="CAD millions"/>
    <n v="4771"/>
    <s v="10_Raw_Segment_Results"/>
    <s v="D6"/>
  </r>
  <r>
    <x v="2"/>
    <x v="0"/>
    <n v="1"/>
    <x v="2"/>
    <x v="1"/>
    <s v="CAD millions"/>
    <n v="1261"/>
    <s v="10_Raw_Segment_Results"/>
    <s v="E6"/>
  </r>
  <r>
    <x v="2"/>
    <x v="0"/>
    <n v="1"/>
    <x v="2"/>
    <x v="15"/>
    <s v="CAD millions"/>
    <n v="315"/>
    <s v="10_Raw_Segment_Results"/>
    <s v="F6"/>
  </r>
  <r>
    <x v="2"/>
    <x v="0"/>
    <n v="1"/>
    <x v="2"/>
    <x v="4"/>
    <s v="CAD millions"/>
    <n v="2143"/>
    <s v="10_Raw_Segment_Results"/>
    <s v="G6"/>
  </r>
  <r>
    <x v="2"/>
    <x v="0"/>
    <n v="1"/>
    <x v="2"/>
    <x v="7"/>
    <s v="CAD millions"/>
    <n v="2582"/>
    <s v="10_Raw_Segment_Results"/>
    <s v="H6"/>
  </r>
  <r>
    <x v="2"/>
    <x v="0"/>
    <n v="1"/>
    <x v="2"/>
    <x v="10"/>
    <s v="%"/>
    <n v="0.23699999999999999"/>
    <s v="10_Raw_Segment_Results"/>
    <s v="I6"/>
  </r>
  <r>
    <x v="2"/>
    <x v="0"/>
    <n v="1"/>
    <x v="2"/>
    <x v="11"/>
    <s v="%"/>
    <n v="0.35499999999999998"/>
    <s v="10_Raw_Segment_Results"/>
    <s v="J6"/>
  </r>
  <r>
    <x v="2"/>
    <x v="0"/>
    <n v="1"/>
    <x v="3"/>
    <x v="2"/>
    <s v="CAD millions"/>
    <n v="18161"/>
    <s v="10_Raw_Segment_Results"/>
    <s v="C7"/>
  </r>
  <r>
    <x v="2"/>
    <x v="0"/>
    <n v="1"/>
    <x v="3"/>
    <x v="0"/>
    <s v="CAD millions"/>
    <n v="4853"/>
    <s v="10_Raw_Segment_Results"/>
    <s v="D7"/>
  </r>
  <r>
    <x v="2"/>
    <x v="0"/>
    <n v="1"/>
    <x v="3"/>
    <x v="1"/>
    <s v="CAD millions"/>
    <n v="13308"/>
    <s v="10_Raw_Segment_Results"/>
    <s v="E7"/>
  </r>
  <r>
    <x v="2"/>
    <x v="0"/>
    <n v="1"/>
    <x v="3"/>
    <x v="15"/>
    <s v="CAD millions"/>
    <n v="328"/>
    <s v="10_Raw_Segment_Results"/>
    <s v="F7"/>
  </r>
  <r>
    <x v="2"/>
    <x v="0"/>
    <n v="1"/>
    <x v="3"/>
    <x v="4"/>
    <s v="CAD millions"/>
    <n v="14387"/>
    <s v="10_Raw_Segment_Results"/>
    <s v="G7"/>
  </r>
  <r>
    <x v="2"/>
    <x v="0"/>
    <n v="1"/>
    <x v="3"/>
    <x v="7"/>
    <s v="CAD millions"/>
    <n v="2693"/>
    <s v="10_Raw_Segment_Results"/>
    <s v="H7"/>
  </r>
  <r>
    <x v="2"/>
    <x v="0"/>
    <n v="1"/>
    <x v="3"/>
    <x v="10"/>
    <s v="%"/>
    <n v="0.109"/>
    <s v="10_Raw_Segment_Results"/>
    <s v="I7"/>
  </r>
  <r>
    <x v="2"/>
    <x v="0"/>
    <n v="1"/>
    <x v="3"/>
    <x v="11"/>
    <s v="%"/>
    <m/>
    <s v="10_Raw_Segment_Results"/>
    <s v="J7"/>
  </r>
  <r>
    <x v="2"/>
    <x v="0"/>
    <n v="1"/>
    <x v="4"/>
    <x v="2"/>
    <s v="CAD millions"/>
    <n v="1010"/>
    <s v="10_Raw_Segment_Results"/>
    <s v="C8"/>
  </r>
  <r>
    <x v="2"/>
    <x v="0"/>
    <n v="1"/>
    <x v="4"/>
    <x v="0"/>
    <s v="CAD millions"/>
    <m/>
    <s v="10_Raw_Segment_Results"/>
    <s v="D8"/>
  </r>
  <r>
    <x v="2"/>
    <x v="0"/>
    <n v="1"/>
    <x v="4"/>
    <x v="1"/>
    <s v="CAD millions"/>
    <m/>
    <s v="10_Raw_Segment_Results"/>
    <s v="E8"/>
  </r>
  <r>
    <x v="2"/>
    <x v="0"/>
    <n v="1"/>
    <x v="4"/>
    <x v="15"/>
    <s v="CAD millions"/>
    <n v="0"/>
    <s v="10_Raw_Segment_Results"/>
    <s v="F8"/>
  </r>
  <r>
    <x v="2"/>
    <x v="0"/>
    <n v="1"/>
    <x v="4"/>
    <x v="4"/>
    <s v="CAD millions"/>
    <n v="293"/>
    <s v="10_Raw_Segment_Results"/>
    <s v="G8"/>
  </r>
  <r>
    <x v="2"/>
    <x v="0"/>
    <n v="1"/>
    <x v="4"/>
    <x v="7"/>
    <s v="CAD millions"/>
    <n v="549"/>
    <s v="10_Raw_Segment_Results"/>
    <s v="H8"/>
  </r>
  <r>
    <x v="2"/>
    <x v="0"/>
    <n v="1"/>
    <x v="4"/>
    <x v="10"/>
    <s v="%"/>
    <n v="0.253"/>
    <s v="10_Raw_Segment_Results"/>
    <s v="I8"/>
  </r>
  <r>
    <x v="2"/>
    <x v="0"/>
    <n v="1"/>
    <x v="4"/>
    <x v="11"/>
    <s v="%"/>
    <m/>
    <s v="10_Raw_Segment_Results"/>
    <s v="J8"/>
  </r>
  <r>
    <x v="2"/>
    <x v="0"/>
    <n v="1"/>
    <x v="5"/>
    <x v="2"/>
    <s v="CAD millions"/>
    <n v="11051"/>
    <s v="10_Raw_Segment_Results"/>
    <s v="C9"/>
  </r>
  <r>
    <x v="2"/>
    <x v="0"/>
    <n v="1"/>
    <x v="5"/>
    <x v="0"/>
    <s v="CAD millions"/>
    <n v="3379"/>
    <s v="10_Raw_Segment_Results"/>
    <s v="D9"/>
  </r>
  <r>
    <x v="2"/>
    <x v="0"/>
    <n v="1"/>
    <x v="5"/>
    <x v="1"/>
    <s v="CAD millions"/>
    <n v="7672"/>
    <s v="10_Raw_Segment_Results"/>
    <s v="E9"/>
  </r>
  <r>
    <x v="2"/>
    <x v="0"/>
    <n v="1"/>
    <x v="5"/>
    <x v="15"/>
    <s v="CAD millions"/>
    <n v="561"/>
    <s v="10_Raw_Segment_Results"/>
    <s v="F9"/>
  </r>
  <r>
    <x v="2"/>
    <x v="0"/>
    <n v="1"/>
    <x v="5"/>
    <x v="4"/>
    <s v="CAD millions"/>
    <n v="6509"/>
    <s v="10_Raw_Segment_Results"/>
    <s v="G9"/>
  </r>
  <r>
    <x v="2"/>
    <x v="0"/>
    <n v="1"/>
    <x v="5"/>
    <x v="7"/>
    <s v="CAD millions"/>
    <n v="4139"/>
    <s v="10_Raw_Segment_Results"/>
    <s v="H9"/>
  </r>
  <r>
    <x v="2"/>
    <x v="0"/>
    <n v="1"/>
    <x v="5"/>
    <x v="10"/>
    <s v="%"/>
    <n v="0.14599999999999999"/>
    <s v="10_Raw_Segment_Results"/>
    <s v="I9"/>
  </r>
  <r>
    <x v="2"/>
    <x v="0"/>
    <n v="1"/>
    <x v="5"/>
    <x v="11"/>
    <s v="%"/>
    <m/>
    <s v="10_Raw_Segment_Results"/>
    <s v="J9"/>
  </r>
  <r>
    <x v="2"/>
    <x v="0"/>
    <n v="1"/>
    <x v="6"/>
    <x v="2"/>
    <s v="CAD millions"/>
    <n v="-261"/>
    <s v="10_Raw_Segment_Results"/>
    <s v="C10"/>
  </r>
  <r>
    <x v="2"/>
    <x v="0"/>
    <n v="1"/>
    <x v="6"/>
    <x v="0"/>
    <s v="CAD millions"/>
    <n v="1181"/>
    <s v="10_Raw_Segment_Results"/>
    <s v="D10"/>
  </r>
  <r>
    <x v="2"/>
    <x v="0"/>
    <n v="1"/>
    <x v="6"/>
    <x v="1"/>
    <s v="CAD millions"/>
    <n v="-1553"/>
    <s v="10_Raw_Segment_Results"/>
    <s v="E10"/>
  </r>
  <r>
    <x v="2"/>
    <x v="0"/>
    <n v="1"/>
    <x v="6"/>
    <x v="15"/>
    <s v="CAD millions"/>
    <n v="0"/>
    <s v="10_Raw_Segment_Results"/>
    <s v="F10"/>
  </r>
  <r>
    <x v="2"/>
    <x v="0"/>
    <n v="1"/>
    <x v="6"/>
    <x v="4"/>
    <s v="CAD millions"/>
    <n v="559"/>
    <s v="10_Raw_Segment_Results"/>
    <s v="G10"/>
  </r>
  <r>
    <x v="2"/>
    <x v="0"/>
    <n v="1"/>
    <x v="6"/>
    <x v="7"/>
    <s v="CAD millions"/>
    <n v="-769"/>
    <s v="10_Raw_Segment_Results"/>
    <s v="H10"/>
  </r>
  <r>
    <x v="2"/>
    <x v="0"/>
    <n v="1"/>
    <x v="6"/>
    <x v="10"/>
    <s v="%"/>
    <m/>
    <s v="10_Raw_Segment_Results"/>
    <s v="I10"/>
  </r>
  <r>
    <x v="2"/>
    <x v="0"/>
    <n v="1"/>
    <x v="6"/>
    <x v="11"/>
    <s v="%"/>
    <m/>
    <s v="10_Raw_Segment_Results"/>
    <s v="J10"/>
  </r>
  <r>
    <x v="2"/>
    <x v="1"/>
    <n v="2"/>
    <x v="1"/>
    <x v="2"/>
    <s v="CAD millions"/>
    <n v="17342"/>
    <s v="10_Raw_Segment_Results"/>
    <s v="C11"/>
  </r>
  <r>
    <x v="2"/>
    <x v="1"/>
    <n v="2"/>
    <x v="1"/>
    <x v="0"/>
    <s v="CAD millions"/>
    <n v="12438"/>
    <s v="10_Raw_Segment_Results"/>
    <s v="D11"/>
  </r>
  <r>
    <x v="2"/>
    <x v="1"/>
    <n v="2"/>
    <x v="1"/>
    <x v="1"/>
    <s v="CAD millions"/>
    <n v="4904"/>
    <s v="10_Raw_Segment_Results"/>
    <s v="E11"/>
  </r>
  <r>
    <x v="2"/>
    <x v="1"/>
    <n v="2"/>
    <x v="1"/>
    <x v="15"/>
    <s v="CAD millions"/>
    <n v="1802"/>
    <s v="10_Raw_Segment_Results"/>
    <s v="F11"/>
  </r>
  <r>
    <x v="2"/>
    <x v="1"/>
    <n v="2"/>
    <x v="1"/>
    <x v="4"/>
    <s v="CAD millions"/>
    <n v="7485"/>
    <s v="10_Raw_Segment_Results"/>
    <s v="G11"/>
  </r>
  <r>
    <x v="2"/>
    <x v="1"/>
    <n v="2"/>
    <x v="1"/>
    <x v="7"/>
    <s v="CAD millions"/>
    <n v="5921"/>
    <s v="10_Raw_Segment_Results"/>
    <s v="H11"/>
  </r>
  <r>
    <x v="2"/>
    <x v="1"/>
    <n v="2"/>
    <x v="1"/>
    <x v="10"/>
    <s v="%"/>
    <n v="0.248"/>
    <s v="10_Raw_Segment_Results"/>
    <s v="I11"/>
  </r>
  <r>
    <x v="2"/>
    <x v="1"/>
    <n v="2"/>
    <x v="1"/>
    <x v="11"/>
    <s v="%"/>
    <n v="0.432"/>
    <s v="10_Raw_Segment_Results"/>
    <s v="J11"/>
  </r>
  <r>
    <x v="2"/>
    <x v="1"/>
    <n v="2"/>
    <x v="2"/>
    <x v="2"/>
    <s v="CAD millions"/>
    <n v="7382"/>
    <s v="10_Raw_Segment_Results"/>
    <s v="C12"/>
  </r>
  <r>
    <x v="2"/>
    <x v="1"/>
    <n v="2"/>
    <x v="2"/>
    <x v="0"/>
    <s v="CAD millions"/>
    <n v="6061"/>
    <s v="10_Raw_Segment_Results"/>
    <s v="D12"/>
  </r>
  <r>
    <x v="2"/>
    <x v="1"/>
    <n v="2"/>
    <x v="2"/>
    <x v="1"/>
    <s v="CAD millions"/>
    <n v="1321"/>
    <s v="10_Raw_Segment_Results"/>
    <s v="E12"/>
  </r>
  <r>
    <x v="2"/>
    <x v="1"/>
    <n v="2"/>
    <x v="2"/>
    <x v="15"/>
    <s v="CAD millions"/>
    <n v="975"/>
    <s v="10_Raw_Segment_Results"/>
    <s v="F12"/>
  </r>
  <r>
    <x v="2"/>
    <x v="1"/>
    <n v="2"/>
    <x v="2"/>
    <x v="4"/>
    <s v="CAD millions"/>
    <n v="2512"/>
    <s v="10_Raw_Segment_Results"/>
    <s v="G12"/>
  </r>
  <r>
    <x v="2"/>
    <x v="1"/>
    <n v="2"/>
    <x v="2"/>
    <x v="7"/>
    <s v="CAD millions"/>
    <n v="2818"/>
    <s v="10_Raw_Segment_Results"/>
    <s v="H12"/>
  </r>
  <r>
    <x v="2"/>
    <x v="1"/>
    <n v="2"/>
    <x v="2"/>
    <x v="10"/>
    <s v="%"/>
    <n v="0.185"/>
    <s v="10_Raw_Segment_Results"/>
    <s v="I12"/>
  </r>
  <r>
    <x v="2"/>
    <x v="1"/>
    <n v="2"/>
    <x v="2"/>
    <x v="11"/>
    <s v="%"/>
    <n v="0.34"/>
    <s v="10_Raw_Segment_Results"/>
    <s v="J12"/>
  </r>
  <r>
    <x v="2"/>
    <x v="1"/>
    <n v="2"/>
    <x v="3"/>
    <x v="2"/>
    <s v="CAD millions"/>
    <n v="19626"/>
    <s v="10_Raw_Segment_Results"/>
    <s v="C13"/>
  </r>
  <r>
    <x v="2"/>
    <x v="1"/>
    <n v="2"/>
    <x v="3"/>
    <x v="0"/>
    <s v="CAD millions"/>
    <n v="4979"/>
    <s v="10_Raw_Segment_Results"/>
    <s v="D13"/>
  </r>
  <r>
    <x v="2"/>
    <x v="1"/>
    <n v="2"/>
    <x v="3"/>
    <x v="1"/>
    <s v="CAD millions"/>
    <n v="14647"/>
    <s v="10_Raw_Segment_Results"/>
    <s v="E13"/>
  </r>
  <r>
    <x v="2"/>
    <x v="1"/>
    <n v="2"/>
    <x v="3"/>
    <x v="15"/>
    <s v="CAD millions"/>
    <n v="29"/>
    <s v="10_Raw_Segment_Results"/>
    <s v="F13"/>
  </r>
  <r>
    <x v="2"/>
    <x v="1"/>
    <n v="2"/>
    <x v="3"/>
    <x v="4"/>
    <s v="CAD millions"/>
    <n v="15312"/>
    <s v="10_Raw_Segment_Results"/>
    <s v="G13"/>
  </r>
  <r>
    <x v="2"/>
    <x v="1"/>
    <n v="2"/>
    <x v="3"/>
    <x v="7"/>
    <s v="CAD millions"/>
    <n v="3422"/>
    <s v="10_Raw_Segment_Results"/>
    <s v="H13"/>
  </r>
  <r>
    <x v="2"/>
    <x v="1"/>
    <n v="2"/>
    <x v="3"/>
    <x v="10"/>
    <s v="%"/>
    <n v="0.14399999999999999"/>
    <s v="10_Raw_Segment_Results"/>
    <s v="I13"/>
  </r>
  <r>
    <x v="2"/>
    <x v="1"/>
    <n v="2"/>
    <x v="3"/>
    <x v="11"/>
    <s v="%"/>
    <m/>
    <s v="10_Raw_Segment_Results"/>
    <s v="J13"/>
  </r>
  <r>
    <x v="2"/>
    <x v="1"/>
    <n v="2"/>
    <x v="4"/>
    <x v="2"/>
    <s v="CAD millions"/>
    <n v="1224"/>
    <s v="10_Raw_Segment_Results"/>
    <s v="C14"/>
  </r>
  <r>
    <x v="2"/>
    <x v="1"/>
    <n v="2"/>
    <x v="4"/>
    <x v="0"/>
    <s v="CAD millions"/>
    <m/>
    <s v="10_Raw_Segment_Results"/>
    <s v="D14"/>
  </r>
  <r>
    <x v="2"/>
    <x v="1"/>
    <n v="2"/>
    <x v="4"/>
    <x v="1"/>
    <s v="CAD millions"/>
    <m/>
    <s v="10_Raw_Segment_Results"/>
    <s v="E14"/>
  </r>
  <r>
    <x v="2"/>
    <x v="1"/>
    <n v="2"/>
    <x v="4"/>
    <x v="15"/>
    <s v="CAD millions"/>
    <n v="0"/>
    <s v="10_Raw_Segment_Results"/>
    <s v="F14"/>
  </r>
  <r>
    <x v="2"/>
    <x v="1"/>
    <n v="2"/>
    <x v="4"/>
    <x v="4"/>
    <s v="CAD millions"/>
    <n v="285"/>
    <s v="10_Raw_Segment_Results"/>
    <s v="G14"/>
  </r>
  <r>
    <x v="2"/>
    <x v="1"/>
    <n v="2"/>
    <x v="4"/>
    <x v="7"/>
    <s v="CAD millions"/>
    <n v="729"/>
    <s v="10_Raw_Segment_Results"/>
    <s v="H14"/>
  </r>
  <r>
    <x v="2"/>
    <x v="1"/>
    <n v="2"/>
    <x v="4"/>
    <x v="10"/>
    <s v="%"/>
    <n v="0.35299999999999998"/>
    <s v="10_Raw_Segment_Results"/>
    <s v="I14"/>
  </r>
  <r>
    <x v="2"/>
    <x v="1"/>
    <n v="2"/>
    <x v="4"/>
    <x v="11"/>
    <s v="%"/>
    <m/>
    <s v="10_Raw_Segment_Results"/>
    <s v="J14"/>
  </r>
  <r>
    <x v="2"/>
    <x v="1"/>
    <n v="2"/>
    <x v="5"/>
    <x v="2"/>
    <s v="CAD millions"/>
    <n v="12012"/>
    <s v="10_Raw_Segment_Results"/>
    <s v="C15"/>
  </r>
  <r>
    <x v="2"/>
    <x v="1"/>
    <n v="2"/>
    <x v="5"/>
    <x v="0"/>
    <s v="CAD millions"/>
    <n v="3183"/>
    <s v="10_Raw_Segment_Results"/>
    <s v="D15"/>
  </r>
  <r>
    <x v="2"/>
    <x v="1"/>
    <n v="2"/>
    <x v="5"/>
    <x v="1"/>
    <s v="CAD millions"/>
    <n v="8829"/>
    <s v="10_Raw_Segment_Results"/>
    <s v="E15"/>
  </r>
  <r>
    <x v="2"/>
    <x v="1"/>
    <n v="2"/>
    <x v="5"/>
    <x v="15"/>
    <s v="CAD millions"/>
    <n v="424"/>
    <s v="10_Raw_Segment_Results"/>
    <s v="F15"/>
  </r>
  <r>
    <x v="2"/>
    <x v="1"/>
    <n v="2"/>
    <x v="5"/>
    <x v="4"/>
    <s v="CAD millions"/>
    <n v="7016"/>
    <s v="10_Raw_Segment_Results"/>
    <s v="G15"/>
  </r>
  <r>
    <x v="2"/>
    <x v="1"/>
    <n v="2"/>
    <x v="5"/>
    <x v="7"/>
    <s v="CAD millions"/>
    <n v="4573"/>
    <s v="10_Raw_Segment_Results"/>
    <s v="H15"/>
  </r>
  <r>
    <x v="2"/>
    <x v="1"/>
    <n v="2"/>
    <x v="5"/>
    <x v="10"/>
    <s v="%"/>
    <n v="0.14199999999999999"/>
    <s v="10_Raw_Segment_Results"/>
    <s v="I15"/>
  </r>
  <r>
    <x v="2"/>
    <x v="1"/>
    <n v="2"/>
    <x v="5"/>
    <x v="11"/>
    <s v="%"/>
    <m/>
    <s v="10_Raw_Segment_Results"/>
    <s v="J15"/>
  </r>
  <r>
    <x v="2"/>
    <x v="1"/>
    <n v="2"/>
    <x v="6"/>
    <x v="2"/>
    <s v="CAD millions"/>
    <n v="-242"/>
    <s v="10_Raw_Segment_Results"/>
    <s v="C16"/>
  </r>
  <r>
    <x v="2"/>
    <x v="1"/>
    <n v="2"/>
    <x v="6"/>
    <x v="0"/>
    <s v="CAD millions"/>
    <n v="1292"/>
    <s v="10_Raw_Segment_Results"/>
    <s v="D16"/>
  </r>
  <r>
    <x v="2"/>
    <x v="1"/>
    <n v="2"/>
    <x v="6"/>
    <x v="1"/>
    <s v="CAD millions"/>
    <n v="-2033"/>
    <s v="10_Raw_Segment_Results"/>
    <s v="E16"/>
  </r>
  <r>
    <x v="2"/>
    <x v="1"/>
    <n v="2"/>
    <x v="6"/>
    <x v="15"/>
    <s v="CAD millions"/>
    <n v="0"/>
    <s v="10_Raw_Segment_Results"/>
    <s v="F16"/>
  </r>
  <r>
    <x v="2"/>
    <x v="1"/>
    <n v="2"/>
    <x v="6"/>
    <x v="4"/>
    <s v="CAD millions"/>
    <n v="1167"/>
    <s v="10_Raw_Segment_Results"/>
    <s v="G16"/>
  </r>
  <r>
    <x v="2"/>
    <x v="1"/>
    <n v="2"/>
    <x v="6"/>
    <x v="7"/>
    <s v="CAD millions"/>
    <n v="-1223"/>
    <s v="10_Raw_Segment_Results"/>
    <s v="H16"/>
  </r>
  <r>
    <x v="2"/>
    <x v="1"/>
    <n v="2"/>
    <x v="6"/>
    <x v="10"/>
    <s v="%"/>
    <m/>
    <s v="10_Raw_Segment_Results"/>
    <s v="I16"/>
  </r>
  <r>
    <x v="2"/>
    <x v="1"/>
    <n v="2"/>
    <x v="6"/>
    <x v="11"/>
    <s v="%"/>
    <m/>
    <s v="10_Raw_Segment_Results"/>
    <s v="J16"/>
  </r>
  <r>
    <x v="2"/>
    <x v="2"/>
    <n v="3"/>
    <x v="1"/>
    <x v="2"/>
    <s v="CAD millions"/>
    <n v="19854"/>
    <s v="10_Raw_Segment_Results"/>
    <s v="C17"/>
  </r>
  <r>
    <x v="2"/>
    <x v="2"/>
    <n v="3"/>
    <x v="1"/>
    <x v="0"/>
    <s v="CAD millions"/>
    <n v="14496"/>
    <s v="10_Raw_Segment_Results"/>
    <s v="D17"/>
  </r>
  <r>
    <x v="2"/>
    <x v="2"/>
    <n v="3"/>
    <x v="1"/>
    <x v="1"/>
    <s v="CAD millions"/>
    <n v="5358"/>
    <s v="10_Raw_Segment_Results"/>
    <s v="E17"/>
  </r>
  <r>
    <x v="2"/>
    <x v="2"/>
    <n v="3"/>
    <x v="1"/>
    <x v="15"/>
    <s v="CAD millions"/>
    <n v="2105"/>
    <s v="10_Raw_Segment_Results"/>
    <s v="F17"/>
  </r>
  <r>
    <x v="2"/>
    <x v="2"/>
    <n v="3"/>
    <x v="1"/>
    <x v="4"/>
    <s v="CAD millions"/>
    <n v="8001"/>
    <s v="10_Raw_Segment_Results"/>
    <s v="G17"/>
  </r>
  <r>
    <x v="2"/>
    <x v="2"/>
    <n v="3"/>
    <x v="1"/>
    <x v="7"/>
    <s v="CAD millions"/>
    <n v="7105"/>
    <s v="10_Raw_Segment_Results"/>
    <s v="H17"/>
  </r>
  <r>
    <x v="2"/>
    <x v="2"/>
    <n v="3"/>
    <x v="1"/>
    <x v="10"/>
    <s v="%"/>
    <n v="0.249"/>
    <s v="10_Raw_Segment_Results"/>
    <s v="I17"/>
  </r>
  <r>
    <x v="2"/>
    <x v="2"/>
    <n v="3"/>
    <x v="1"/>
    <x v="11"/>
    <s v="%"/>
    <n v="0.40300000000000002"/>
    <s v="10_Raw_Segment_Results"/>
    <s v="J17"/>
  </r>
  <r>
    <x v="2"/>
    <x v="2"/>
    <n v="3"/>
    <x v="2"/>
    <x v="2"/>
    <s v="CAD millions"/>
    <n v="8562"/>
    <s v="10_Raw_Segment_Results"/>
    <s v="C18"/>
  </r>
  <r>
    <x v="2"/>
    <x v="2"/>
    <n v="3"/>
    <x v="2"/>
    <x v="0"/>
    <s v="CAD millions"/>
    <n v="7268"/>
    <s v="10_Raw_Segment_Results"/>
    <s v="D18"/>
  </r>
  <r>
    <x v="2"/>
    <x v="2"/>
    <n v="3"/>
    <x v="2"/>
    <x v="1"/>
    <s v="CAD millions"/>
    <n v="1294"/>
    <s v="10_Raw_Segment_Results"/>
    <s v="E18"/>
  </r>
  <r>
    <x v="2"/>
    <x v="2"/>
    <n v="3"/>
    <x v="2"/>
    <x v="15"/>
    <s v="CAD millions"/>
    <n v="1550"/>
    <s v="10_Raw_Segment_Results"/>
    <s v="F18"/>
  </r>
  <r>
    <x v="2"/>
    <x v="2"/>
    <n v="3"/>
    <x v="2"/>
    <x v="4"/>
    <s v="CAD millions"/>
    <n v="2833"/>
    <s v="10_Raw_Segment_Results"/>
    <s v="G18"/>
  </r>
  <r>
    <x v="2"/>
    <x v="2"/>
    <n v="3"/>
    <x v="2"/>
    <x v="7"/>
    <s v="CAD millions"/>
    <n v="3020"/>
    <s v="10_Raw_Segment_Results"/>
    <s v="H18"/>
  </r>
  <r>
    <x v="2"/>
    <x v="2"/>
    <n v="3"/>
    <x v="2"/>
    <x v="10"/>
    <s v="%"/>
    <n v="0.14899999999999999"/>
    <s v="10_Raw_Segment_Results"/>
    <s v="I18"/>
  </r>
  <r>
    <x v="2"/>
    <x v="2"/>
    <n v="3"/>
    <x v="2"/>
    <x v="11"/>
    <s v="%"/>
    <n v="0.33100000000000002"/>
    <s v="10_Raw_Segment_Results"/>
    <s v="J18"/>
  </r>
  <r>
    <x v="2"/>
    <x v="2"/>
    <n v="3"/>
    <x v="3"/>
    <x v="2"/>
    <s v="CAD millions"/>
    <n v="22378"/>
    <s v="10_Raw_Segment_Results"/>
    <s v="C19"/>
  </r>
  <r>
    <x v="2"/>
    <x v="2"/>
    <n v="3"/>
    <x v="3"/>
    <x v="0"/>
    <s v="CAD millions"/>
    <n v="5459"/>
    <s v="10_Raw_Segment_Results"/>
    <s v="D19"/>
  </r>
  <r>
    <x v="2"/>
    <x v="2"/>
    <n v="3"/>
    <x v="3"/>
    <x v="1"/>
    <s v="CAD millions"/>
    <n v="16919"/>
    <s v="10_Raw_Segment_Results"/>
    <s v="E19"/>
  </r>
  <r>
    <x v="2"/>
    <x v="2"/>
    <n v="3"/>
    <x v="3"/>
    <x v="15"/>
    <s v="CAD millions"/>
    <n v="120"/>
    <s v="10_Raw_Segment_Results"/>
    <s v="F19"/>
  </r>
  <r>
    <x v="2"/>
    <x v="2"/>
    <n v="3"/>
    <x v="3"/>
    <x v="4"/>
    <s v="CAD millions"/>
    <n v="16769"/>
    <s v="10_Raw_Segment_Results"/>
    <s v="G19"/>
  </r>
  <r>
    <x v="2"/>
    <x v="2"/>
    <n v="3"/>
    <x v="3"/>
    <x v="7"/>
    <s v="CAD millions"/>
    <n v="4289"/>
    <s v="10_Raw_Segment_Results"/>
    <s v="H19"/>
  </r>
  <r>
    <x v="2"/>
    <x v="2"/>
    <n v="3"/>
    <x v="3"/>
    <x v="10"/>
    <s v="%"/>
    <n v="0.16600000000000001"/>
    <s v="10_Raw_Segment_Results"/>
    <s v="I19"/>
  </r>
  <r>
    <x v="2"/>
    <x v="2"/>
    <n v="3"/>
    <x v="3"/>
    <x v="11"/>
    <s v="%"/>
    <m/>
    <s v="10_Raw_Segment_Results"/>
    <s v="J19"/>
  </r>
  <r>
    <x v="2"/>
    <x v="2"/>
    <n v="3"/>
    <x v="4"/>
    <x v="2"/>
    <s v="CAD millions"/>
    <n v="1321"/>
    <s v="10_Raw_Segment_Results"/>
    <s v="C20"/>
  </r>
  <r>
    <x v="2"/>
    <x v="2"/>
    <n v="3"/>
    <x v="4"/>
    <x v="0"/>
    <s v="CAD millions"/>
    <m/>
    <s v="10_Raw_Segment_Results"/>
    <s v="D20"/>
  </r>
  <r>
    <x v="2"/>
    <x v="2"/>
    <n v="3"/>
    <x v="4"/>
    <x v="1"/>
    <s v="CAD millions"/>
    <m/>
    <s v="10_Raw_Segment_Results"/>
    <s v="E20"/>
  </r>
  <r>
    <x v="2"/>
    <x v="2"/>
    <n v="3"/>
    <x v="4"/>
    <x v="15"/>
    <s v="CAD millions"/>
    <n v="0"/>
    <s v="10_Raw_Segment_Results"/>
    <s v="F20"/>
  </r>
  <r>
    <x v="2"/>
    <x v="2"/>
    <n v="3"/>
    <x v="4"/>
    <x v="4"/>
    <s v="CAD millions"/>
    <n v="315"/>
    <s v="10_Raw_Segment_Results"/>
    <s v="G20"/>
  </r>
  <r>
    <x v="2"/>
    <x v="2"/>
    <n v="3"/>
    <x v="4"/>
    <x v="7"/>
    <s v="CAD millions"/>
    <n v="828"/>
    <s v="10_Raw_Segment_Results"/>
    <s v="H20"/>
  </r>
  <r>
    <x v="2"/>
    <x v="2"/>
    <n v="3"/>
    <x v="4"/>
    <x v="10"/>
    <s v="%"/>
    <n v="0.40699999999999997"/>
    <s v="10_Raw_Segment_Results"/>
    <s v="I20"/>
  </r>
  <r>
    <x v="2"/>
    <x v="2"/>
    <n v="3"/>
    <x v="4"/>
    <x v="11"/>
    <s v="%"/>
    <m/>
    <s v="10_Raw_Segment_Results"/>
    <s v="J20"/>
  </r>
  <r>
    <x v="2"/>
    <x v="2"/>
    <n v="3"/>
    <x v="5"/>
    <x v="2"/>
    <s v="CAD millions"/>
    <n v="14426"/>
    <s v="10_Raw_Segment_Results"/>
    <s v="C21"/>
  </r>
  <r>
    <x v="2"/>
    <x v="2"/>
    <n v="3"/>
    <x v="5"/>
    <x v="0"/>
    <s v="CAD millions"/>
    <n v="4789"/>
    <s v="10_Raw_Segment_Results"/>
    <s v="D21"/>
  </r>
  <r>
    <x v="2"/>
    <x v="2"/>
    <n v="3"/>
    <x v="5"/>
    <x v="1"/>
    <s v="CAD millions"/>
    <n v="9637"/>
    <s v="10_Raw_Segment_Results"/>
    <s v="E21"/>
  </r>
  <r>
    <x v="2"/>
    <x v="2"/>
    <n v="3"/>
    <x v="5"/>
    <x v="15"/>
    <s v="CAD millions"/>
    <n v="587"/>
    <s v="10_Raw_Segment_Results"/>
    <s v="F21"/>
  </r>
  <r>
    <x v="2"/>
    <x v="2"/>
    <n v="3"/>
    <x v="5"/>
    <x v="4"/>
    <s v="CAD millions"/>
    <n v="7966"/>
    <s v="10_Raw_Segment_Results"/>
    <s v="G21"/>
  </r>
  <r>
    <x v="2"/>
    <x v="2"/>
    <n v="3"/>
    <x v="5"/>
    <x v="7"/>
    <s v="CAD millions"/>
    <n v="5393"/>
    <s v="10_Raw_Segment_Results"/>
    <s v="H21"/>
  </r>
  <r>
    <x v="2"/>
    <x v="2"/>
    <n v="3"/>
    <x v="5"/>
    <x v="10"/>
    <s v="%"/>
    <n v="0.13700000000000001"/>
    <s v="10_Raw_Segment_Results"/>
    <s v="I21"/>
  </r>
  <r>
    <x v="2"/>
    <x v="2"/>
    <n v="3"/>
    <x v="5"/>
    <x v="11"/>
    <s v="%"/>
    <m/>
    <s v="10_Raw_Segment_Results"/>
    <s v="J21"/>
  </r>
  <r>
    <x v="2"/>
    <x v="2"/>
    <n v="3"/>
    <x v="6"/>
    <x v="2"/>
    <s v="CAD millions"/>
    <n v="64"/>
    <s v="10_Raw_Segment_Results"/>
    <s v="C22"/>
  </r>
  <r>
    <x v="2"/>
    <x v="2"/>
    <n v="3"/>
    <x v="6"/>
    <x v="0"/>
    <s v="CAD millions"/>
    <n v="988"/>
    <s v="10_Raw_Segment_Results"/>
    <s v="D22"/>
  </r>
  <r>
    <x v="2"/>
    <x v="2"/>
    <n v="3"/>
    <x v="6"/>
    <x v="1"/>
    <s v="CAD millions"/>
    <n v="-1329"/>
    <s v="10_Raw_Segment_Results"/>
    <s v="E22"/>
  </r>
  <r>
    <x v="2"/>
    <x v="2"/>
    <n v="3"/>
    <x v="6"/>
    <x v="15"/>
    <s v="CAD millions"/>
    <n v="0"/>
    <s v="10_Raw_Segment_Results"/>
    <s v="F22"/>
  </r>
  <r>
    <x v="2"/>
    <x v="2"/>
    <n v="3"/>
    <x v="6"/>
    <x v="4"/>
    <s v="CAD millions"/>
    <n v="317"/>
    <s v="10_Raw_Segment_Results"/>
    <s v="G22"/>
  </r>
  <r>
    <x v="2"/>
    <x v="2"/>
    <n v="3"/>
    <x v="6"/>
    <x v="7"/>
    <s v="CAD millions"/>
    <n v="-266"/>
    <s v="10_Raw_Segment_Results"/>
    <s v="H22"/>
  </r>
  <r>
    <x v="2"/>
    <x v="2"/>
    <n v="3"/>
    <x v="6"/>
    <x v="10"/>
    <s v="%"/>
    <m/>
    <s v="10_Raw_Segment_Results"/>
    <s v="I22"/>
  </r>
  <r>
    <x v="2"/>
    <x v="2"/>
    <n v="3"/>
    <x v="6"/>
    <x v="11"/>
    <s v="%"/>
    <m/>
    <s v="10_Raw_Segment_Results"/>
    <s v="J22"/>
  </r>
  <r>
    <x v="2"/>
    <x v="11"/>
    <n v="4"/>
    <x v="1"/>
    <x v="2"/>
    <s v="CAD millions"/>
    <n v="5238"/>
    <s v="10_Raw_Segment_Results"/>
    <s v="C23"/>
  </r>
  <r>
    <x v="2"/>
    <x v="11"/>
    <n v="4"/>
    <x v="1"/>
    <x v="0"/>
    <s v="CAD millions"/>
    <n v="3831"/>
    <s v="10_Raw_Segment_Results"/>
    <s v="D23"/>
  </r>
  <r>
    <x v="2"/>
    <x v="11"/>
    <n v="4"/>
    <x v="1"/>
    <x v="1"/>
    <s v="CAD millions"/>
    <n v="1407"/>
    <s v="10_Raw_Segment_Results"/>
    <s v="E23"/>
  </r>
  <r>
    <x v="2"/>
    <x v="11"/>
    <n v="4"/>
    <x v="1"/>
    <x v="15"/>
    <s v="CAD millions"/>
    <n v="531"/>
    <s v="10_Raw_Segment_Results"/>
    <s v="F23"/>
  </r>
  <r>
    <x v="2"/>
    <x v="11"/>
    <n v="4"/>
    <x v="1"/>
    <x v="4"/>
    <s v="CAD millions"/>
    <n v="2020"/>
    <s v="10_Raw_Segment_Results"/>
    <s v="G23"/>
  </r>
  <r>
    <x v="2"/>
    <x v="11"/>
    <n v="4"/>
    <x v="1"/>
    <x v="7"/>
    <s v="CAD millions"/>
    <n v="1962"/>
    <s v="10_Raw_Segment_Results"/>
    <s v="H23"/>
  </r>
  <r>
    <x v="2"/>
    <x v="11"/>
    <n v="4"/>
    <x v="1"/>
    <x v="10"/>
    <s v="%"/>
    <n v="0.26300000000000001"/>
    <s v="10_Raw_Segment_Results"/>
    <s v="I23"/>
  </r>
  <r>
    <x v="2"/>
    <x v="11"/>
    <n v="4"/>
    <x v="1"/>
    <x v="11"/>
    <s v="%"/>
    <n v="0.38600000000000001"/>
    <s v="10_Raw_Segment_Results"/>
    <s v="J23"/>
  </r>
  <r>
    <x v="2"/>
    <x v="11"/>
    <n v="4"/>
    <x v="2"/>
    <x v="2"/>
    <s v="CAD millions"/>
    <n v="2207"/>
    <s v="10_Raw_Segment_Results"/>
    <s v="C24"/>
  </r>
  <r>
    <x v="2"/>
    <x v="11"/>
    <n v="4"/>
    <x v="2"/>
    <x v="0"/>
    <s v="CAD millions"/>
    <n v="1895"/>
    <s v="10_Raw_Segment_Results"/>
    <s v="D24"/>
  </r>
  <r>
    <x v="2"/>
    <x v="11"/>
    <n v="4"/>
    <x v="2"/>
    <x v="1"/>
    <s v="CAD millions"/>
    <n v="312"/>
    <s v="10_Raw_Segment_Results"/>
    <s v="E24"/>
  </r>
  <r>
    <x v="2"/>
    <x v="11"/>
    <n v="4"/>
    <x v="2"/>
    <x v="15"/>
    <s v="CAD millions"/>
    <n v="286"/>
    <s v="10_Raw_Segment_Results"/>
    <s v="F24"/>
  </r>
  <r>
    <x v="2"/>
    <x v="11"/>
    <n v="4"/>
    <x v="2"/>
    <x v="4"/>
    <s v="CAD millions"/>
    <n v="725"/>
    <s v="10_Raw_Segment_Results"/>
    <s v="G24"/>
  </r>
  <r>
    <x v="2"/>
    <x v="11"/>
    <n v="4"/>
    <x v="2"/>
    <x v="7"/>
    <s v="CAD millions"/>
    <n v="863"/>
    <s v="10_Raw_Segment_Results"/>
    <s v="H24"/>
  </r>
  <r>
    <x v="2"/>
    <x v="11"/>
    <n v="4"/>
    <x v="2"/>
    <x v="10"/>
    <s v="%"/>
    <n v="0.16900000000000001"/>
    <s v="10_Raw_Segment_Results"/>
    <s v="I24"/>
  </r>
  <r>
    <x v="2"/>
    <x v="11"/>
    <n v="4"/>
    <x v="2"/>
    <x v="11"/>
    <s v="%"/>
    <n v="0.32900000000000001"/>
    <s v="10_Raw_Segment_Results"/>
    <s v="J24"/>
  </r>
  <r>
    <x v="2"/>
    <x v="11"/>
    <n v="4"/>
    <x v="3"/>
    <x v="2"/>
    <s v="CAD millions"/>
    <n v="6084"/>
    <s v="10_Raw_Segment_Results"/>
    <s v="C25"/>
  </r>
  <r>
    <x v="2"/>
    <x v="11"/>
    <n v="4"/>
    <x v="3"/>
    <x v="0"/>
    <s v="CAD millions"/>
    <n v="1454"/>
    <s v="10_Raw_Segment_Results"/>
    <s v="D25"/>
  </r>
  <r>
    <x v="2"/>
    <x v="11"/>
    <n v="4"/>
    <x v="3"/>
    <x v="1"/>
    <s v="CAD millions"/>
    <n v="4630"/>
    <s v="10_Raw_Segment_Results"/>
    <s v="E25"/>
  </r>
  <r>
    <x v="2"/>
    <x v="11"/>
    <n v="4"/>
    <x v="3"/>
    <x v="15"/>
    <s v="CAD millions"/>
    <n v="18"/>
    <s v="10_Raw_Segment_Results"/>
    <s v="F25"/>
  </r>
  <r>
    <x v="2"/>
    <x v="11"/>
    <n v="4"/>
    <x v="3"/>
    <x v="4"/>
    <s v="CAD millions"/>
    <n v="4384"/>
    <s v="10_Raw_Segment_Results"/>
    <s v="G25"/>
  </r>
  <r>
    <x v="2"/>
    <x v="11"/>
    <n v="4"/>
    <x v="3"/>
    <x v="7"/>
    <s v="CAD millions"/>
    <n v="1295"/>
    <s v="10_Raw_Segment_Results"/>
    <s v="H25"/>
  </r>
  <r>
    <x v="2"/>
    <x v="11"/>
    <n v="4"/>
    <x v="3"/>
    <x v="10"/>
    <s v="%"/>
    <n v="0.19600000000000001"/>
    <s v="10_Raw_Segment_Results"/>
    <s v="I25"/>
  </r>
  <r>
    <x v="2"/>
    <x v="11"/>
    <n v="4"/>
    <x v="3"/>
    <x v="11"/>
    <s v="%"/>
    <m/>
    <s v="10_Raw_Segment_Results"/>
    <s v="J25"/>
  </r>
  <r>
    <x v="2"/>
    <x v="11"/>
    <n v="4"/>
    <x v="4"/>
    <x v="2"/>
    <s v="CAD millions"/>
    <n v="338"/>
    <s v="10_Raw_Segment_Results"/>
    <s v="C26"/>
  </r>
  <r>
    <x v="2"/>
    <x v="11"/>
    <n v="4"/>
    <x v="4"/>
    <x v="0"/>
    <s v="CAD millions"/>
    <m/>
    <s v="10_Raw_Segment_Results"/>
    <s v="D26"/>
  </r>
  <r>
    <x v="2"/>
    <x v="11"/>
    <n v="4"/>
    <x v="4"/>
    <x v="1"/>
    <s v="CAD millions"/>
    <m/>
    <s v="10_Raw_Segment_Results"/>
    <s v="E26"/>
  </r>
  <r>
    <x v="2"/>
    <x v="11"/>
    <n v="4"/>
    <x v="4"/>
    <x v="15"/>
    <s v="CAD millions"/>
    <n v="0"/>
    <s v="10_Raw_Segment_Results"/>
    <s v="F26"/>
  </r>
  <r>
    <x v="2"/>
    <x v="11"/>
    <n v="4"/>
    <x v="4"/>
    <x v="4"/>
    <s v="CAD millions"/>
    <n v="78"/>
    <s v="10_Raw_Segment_Results"/>
    <s v="G26"/>
  </r>
  <r>
    <x v="2"/>
    <x v="11"/>
    <n v="4"/>
    <x v="4"/>
    <x v="7"/>
    <s v="CAD millions"/>
    <n v="213"/>
    <s v="10_Raw_Segment_Results"/>
    <s v="H26"/>
  </r>
  <r>
    <x v="2"/>
    <x v="11"/>
    <n v="4"/>
    <x v="4"/>
    <x v="10"/>
    <s v="%"/>
    <n v="0.249"/>
    <s v="10_Raw_Segment_Results"/>
    <s v="I26"/>
  </r>
  <r>
    <x v="2"/>
    <x v="11"/>
    <n v="4"/>
    <x v="4"/>
    <x v="11"/>
    <s v="%"/>
    <m/>
    <s v="10_Raw_Segment_Results"/>
    <s v="J26"/>
  </r>
  <r>
    <x v="2"/>
    <x v="11"/>
    <n v="4"/>
    <x v="5"/>
    <x v="2"/>
    <s v="CAD millions"/>
    <n v="4018"/>
    <s v="10_Raw_Segment_Results"/>
    <s v="C27"/>
  </r>
  <r>
    <x v="2"/>
    <x v="11"/>
    <n v="4"/>
    <x v="5"/>
    <x v="0"/>
    <s v="CAD millions"/>
    <n v="1218"/>
    <s v="10_Raw_Segment_Results"/>
    <s v="D27"/>
  </r>
  <r>
    <x v="2"/>
    <x v="11"/>
    <n v="4"/>
    <x v="5"/>
    <x v="1"/>
    <s v="CAD millions"/>
    <n v="2800"/>
    <s v="10_Raw_Segment_Results"/>
    <s v="E27"/>
  </r>
  <r>
    <x v="2"/>
    <x v="11"/>
    <n v="4"/>
    <x v="5"/>
    <x v="15"/>
    <s v="CAD millions"/>
    <n v="256"/>
    <s v="10_Raw_Segment_Results"/>
    <s v="F27"/>
  </r>
  <r>
    <x v="2"/>
    <x v="11"/>
    <n v="4"/>
    <x v="5"/>
    <x v="4"/>
    <s v="CAD millions"/>
    <n v="2119"/>
    <s v="10_Raw_Segment_Results"/>
    <s v="G27"/>
  </r>
  <r>
    <x v="2"/>
    <x v="11"/>
    <n v="4"/>
    <x v="5"/>
    <x v="7"/>
    <s v="CAD millions"/>
    <n v="1478"/>
    <s v="10_Raw_Segment_Results"/>
    <s v="H27"/>
  </r>
  <r>
    <x v="2"/>
    <x v="11"/>
    <n v="4"/>
    <x v="5"/>
    <x v="10"/>
    <s v="%"/>
    <n v="0.14399999999999999"/>
    <s v="10_Raw_Segment_Results"/>
    <s v="I27"/>
  </r>
  <r>
    <x v="2"/>
    <x v="11"/>
    <n v="4"/>
    <x v="5"/>
    <x v="11"/>
    <s v="%"/>
    <m/>
    <s v="10_Raw_Segment_Results"/>
    <s v="J27"/>
  </r>
  <r>
    <x v="2"/>
    <x v="11"/>
    <n v="4"/>
    <x v="6"/>
    <x v="2"/>
    <s v="CAD millions"/>
    <n v="75"/>
    <s v="10_Raw_Segment_Results"/>
    <s v="C28"/>
  </r>
  <r>
    <x v="2"/>
    <x v="11"/>
    <n v="4"/>
    <x v="6"/>
    <x v="0"/>
    <s v="CAD millions"/>
    <n v="187"/>
    <s v="10_Raw_Segment_Results"/>
    <s v="D28"/>
  </r>
  <r>
    <x v="2"/>
    <x v="11"/>
    <n v="4"/>
    <x v="6"/>
    <x v="1"/>
    <s v="CAD millions"/>
    <n v="-202"/>
    <s v="10_Raw_Segment_Results"/>
    <s v="E28"/>
  </r>
  <r>
    <x v="2"/>
    <x v="11"/>
    <n v="4"/>
    <x v="6"/>
    <x v="15"/>
    <s v="CAD millions"/>
    <n v="-1"/>
    <s v="10_Raw_Segment_Results"/>
    <s v="F28"/>
  </r>
  <r>
    <x v="2"/>
    <x v="11"/>
    <n v="4"/>
    <x v="6"/>
    <x v="4"/>
    <s v="CAD millions"/>
    <n v="51"/>
    <s v="10_Raw_Segment_Results"/>
    <s v="G28"/>
  </r>
  <r>
    <x v="2"/>
    <x v="11"/>
    <n v="4"/>
    <x v="6"/>
    <x v="7"/>
    <s v="CAD millions"/>
    <n v="-26"/>
    <s v="10_Raw_Segment_Results"/>
    <s v="H28"/>
  </r>
  <r>
    <x v="2"/>
    <x v="11"/>
    <n v="4"/>
    <x v="6"/>
    <x v="10"/>
    <s v="%"/>
    <m/>
    <s v="10_Raw_Segment_Results"/>
    <s v="I28"/>
  </r>
  <r>
    <x v="2"/>
    <x v="11"/>
    <n v="4"/>
    <x v="6"/>
    <x v="11"/>
    <s v="%"/>
    <m/>
    <s v="10_Raw_Segment_Results"/>
    <s v="J28"/>
  </r>
  <r>
    <x v="2"/>
    <x v="12"/>
    <n v="5"/>
    <x v="1"/>
    <x v="2"/>
    <s v="CAD millions"/>
    <n v="5049"/>
    <s v="10_Raw_Segment_Results"/>
    <s v="C29"/>
  </r>
  <r>
    <x v="2"/>
    <x v="12"/>
    <n v="5"/>
    <x v="1"/>
    <x v="0"/>
    <s v="CAD millions"/>
    <n v="3715"/>
    <s v="10_Raw_Segment_Results"/>
    <s v="D29"/>
  </r>
  <r>
    <x v="2"/>
    <x v="12"/>
    <n v="5"/>
    <x v="1"/>
    <x v="1"/>
    <s v="CAD millions"/>
    <n v="1334"/>
    <s v="10_Raw_Segment_Results"/>
    <s v="E29"/>
  </r>
  <r>
    <x v="2"/>
    <x v="12"/>
    <n v="5"/>
    <x v="1"/>
    <x v="15"/>
    <s v="CAD millions"/>
    <n v="492"/>
    <s v="10_Raw_Segment_Results"/>
    <s v="F29"/>
  </r>
  <r>
    <x v="2"/>
    <x v="12"/>
    <n v="5"/>
    <x v="1"/>
    <x v="4"/>
    <s v="CAD millions"/>
    <n v="1987"/>
    <s v="10_Raw_Segment_Results"/>
    <s v="G29"/>
  </r>
  <r>
    <x v="2"/>
    <x v="12"/>
    <n v="5"/>
    <x v="1"/>
    <x v="7"/>
    <s v="CAD millions"/>
    <n v="1870"/>
    <s v="10_Raw_Segment_Results"/>
    <s v="H29"/>
  </r>
  <r>
    <x v="2"/>
    <x v="12"/>
    <n v="5"/>
    <x v="1"/>
    <x v="10"/>
    <s v="%"/>
    <n v="0.254"/>
    <s v="10_Raw_Segment_Results"/>
    <s v="I29"/>
  </r>
  <r>
    <x v="2"/>
    <x v="12"/>
    <n v="5"/>
    <x v="1"/>
    <x v="11"/>
    <s v="%"/>
    <n v="0.39400000000000002"/>
    <s v="10_Raw_Segment_Results"/>
    <s v="J29"/>
  </r>
  <r>
    <x v="2"/>
    <x v="12"/>
    <n v="5"/>
    <x v="2"/>
    <x v="2"/>
    <s v="CAD millions"/>
    <n v="2159"/>
    <s v="10_Raw_Segment_Results"/>
    <s v="C30"/>
  </r>
  <r>
    <x v="2"/>
    <x v="12"/>
    <n v="5"/>
    <x v="2"/>
    <x v="0"/>
    <s v="CAD millions"/>
    <n v="1844"/>
    <s v="10_Raw_Segment_Results"/>
    <s v="D30"/>
  </r>
  <r>
    <x v="2"/>
    <x v="12"/>
    <n v="5"/>
    <x v="2"/>
    <x v="1"/>
    <s v="CAD millions"/>
    <n v="315"/>
    <s v="10_Raw_Segment_Results"/>
    <s v="E30"/>
  </r>
  <r>
    <x v="2"/>
    <x v="12"/>
    <n v="5"/>
    <x v="2"/>
    <x v="15"/>
    <s v="CAD millions"/>
    <n v="247"/>
    <s v="10_Raw_Segment_Results"/>
    <s v="F30"/>
  </r>
  <r>
    <x v="2"/>
    <x v="12"/>
    <n v="5"/>
    <x v="2"/>
    <x v="4"/>
    <s v="CAD millions"/>
    <n v="730"/>
    <s v="10_Raw_Segment_Results"/>
    <s v="G30"/>
  </r>
  <r>
    <x v="2"/>
    <x v="12"/>
    <n v="5"/>
    <x v="2"/>
    <x v="7"/>
    <s v="CAD millions"/>
    <n v="854"/>
    <s v="10_Raw_Segment_Results"/>
    <s v="H30"/>
  </r>
  <r>
    <x v="2"/>
    <x v="12"/>
    <n v="5"/>
    <x v="2"/>
    <x v="10"/>
    <s v="%"/>
    <n v="0.17399999999999999"/>
    <s v="10_Raw_Segment_Results"/>
    <s v="I30"/>
  </r>
  <r>
    <x v="2"/>
    <x v="12"/>
    <n v="5"/>
    <x v="2"/>
    <x v="11"/>
    <s v="%"/>
    <n v="0.33800000000000002"/>
    <s v="10_Raw_Segment_Results"/>
    <s v="J30"/>
  </r>
  <r>
    <x v="2"/>
    <x v="12"/>
    <n v="5"/>
    <x v="3"/>
    <x v="2"/>
    <s v="CAD millions"/>
    <n v="5954"/>
    <s v="10_Raw_Segment_Results"/>
    <s v="C31"/>
  </r>
  <r>
    <x v="2"/>
    <x v="12"/>
    <n v="5"/>
    <x v="3"/>
    <x v="0"/>
    <s v="CAD millions"/>
    <n v="1429"/>
    <s v="10_Raw_Segment_Results"/>
    <s v="D31"/>
  </r>
  <r>
    <x v="2"/>
    <x v="12"/>
    <n v="5"/>
    <x v="3"/>
    <x v="1"/>
    <s v="CAD millions"/>
    <n v="4525"/>
    <s v="10_Raw_Segment_Results"/>
    <s v="E31"/>
  </r>
  <r>
    <x v="2"/>
    <x v="12"/>
    <n v="5"/>
    <x v="3"/>
    <x v="15"/>
    <s v="CAD millions"/>
    <n v="55"/>
    <s v="10_Raw_Segment_Results"/>
    <s v="F31"/>
  </r>
  <r>
    <x v="2"/>
    <x v="12"/>
    <n v="5"/>
    <x v="3"/>
    <x v="4"/>
    <s v="CAD millions"/>
    <n v="4379"/>
    <s v="10_Raw_Segment_Results"/>
    <s v="G31"/>
  </r>
  <r>
    <x v="2"/>
    <x v="12"/>
    <n v="5"/>
    <x v="3"/>
    <x v="7"/>
    <s v="CAD millions"/>
    <n v="1185"/>
    <s v="10_Raw_Segment_Results"/>
    <s v="H31"/>
  </r>
  <r>
    <x v="2"/>
    <x v="12"/>
    <n v="5"/>
    <x v="3"/>
    <x v="10"/>
    <s v="%"/>
    <n v="0.186"/>
    <s v="10_Raw_Segment_Results"/>
    <s v="I31"/>
  </r>
  <r>
    <x v="2"/>
    <x v="12"/>
    <n v="5"/>
    <x v="3"/>
    <x v="11"/>
    <s v="%"/>
    <m/>
    <s v="10_Raw_Segment_Results"/>
    <s v="J31"/>
  </r>
  <r>
    <x v="2"/>
    <x v="12"/>
    <n v="5"/>
    <x v="4"/>
    <x v="2"/>
    <s v="CAD millions"/>
    <n v="345"/>
    <s v="10_Raw_Segment_Results"/>
    <s v="C32"/>
  </r>
  <r>
    <x v="2"/>
    <x v="12"/>
    <n v="5"/>
    <x v="4"/>
    <x v="0"/>
    <s v="CAD millions"/>
    <m/>
    <s v="10_Raw_Segment_Results"/>
    <s v="D32"/>
  </r>
  <r>
    <x v="2"/>
    <x v="12"/>
    <n v="5"/>
    <x v="4"/>
    <x v="1"/>
    <s v="CAD millions"/>
    <m/>
    <s v="10_Raw_Segment_Results"/>
    <s v="E32"/>
  </r>
  <r>
    <x v="2"/>
    <x v="12"/>
    <n v="5"/>
    <x v="4"/>
    <x v="15"/>
    <s v="CAD millions"/>
    <n v="0"/>
    <s v="10_Raw_Segment_Results"/>
    <s v="F32"/>
  </r>
  <r>
    <x v="2"/>
    <x v="12"/>
    <n v="5"/>
    <x v="4"/>
    <x v="4"/>
    <s v="CAD millions"/>
    <n v="75"/>
    <s v="10_Raw_Segment_Results"/>
    <s v="G32"/>
  </r>
  <r>
    <x v="2"/>
    <x v="12"/>
    <n v="5"/>
    <x v="4"/>
    <x v="7"/>
    <s v="CAD millions"/>
    <n v="218"/>
    <s v="10_Raw_Segment_Results"/>
    <s v="H32"/>
  </r>
  <r>
    <x v="2"/>
    <x v="12"/>
    <n v="5"/>
    <x v="4"/>
    <x v="10"/>
    <s v="%"/>
    <n v="0.25900000000000001"/>
    <s v="10_Raw_Segment_Results"/>
    <s v="I32"/>
  </r>
  <r>
    <x v="2"/>
    <x v="12"/>
    <n v="5"/>
    <x v="4"/>
    <x v="11"/>
    <s v="%"/>
    <m/>
    <s v="10_Raw_Segment_Results"/>
    <s v="J32"/>
  </r>
  <r>
    <x v="2"/>
    <x v="12"/>
    <n v="5"/>
    <x v="5"/>
    <x v="2"/>
    <s v="CAD millions"/>
    <n v="3943"/>
    <s v="10_Raw_Segment_Results"/>
    <s v="C33"/>
  </r>
  <r>
    <x v="2"/>
    <x v="12"/>
    <n v="5"/>
    <x v="5"/>
    <x v="0"/>
    <s v="CAD millions"/>
    <n v="1315"/>
    <s v="10_Raw_Segment_Results"/>
    <s v="D33"/>
  </r>
  <r>
    <x v="2"/>
    <x v="12"/>
    <n v="5"/>
    <x v="5"/>
    <x v="1"/>
    <s v="CAD millions"/>
    <n v="2628"/>
    <s v="10_Raw_Segment_Results"/>
    <s v="E33"/>
  </r>
  <r>
    <x v="2"/>
    <x v="12"/>
    <n v="5"/>
    <x v="5"/>
    <x v="15"/>
    <s v="CAD millions"/>
    <n v="117"/>
    <s v="10_Raw_Segment_Results"/>
    <s v="F33"/>
  </r>
  <r>
    <x v="2"/>
    <x v="12"/>
    <n v="5"/>
    <x v="5"/>
    <x v="4"/>
    <s v="CAD millions"/>
    <n v="2097"/>
    <s v="10_Raw_Segment_Results"/>
    <s v="G33"/>
  </r>
  <r>
    <x v="2"/>
    <x v="12"/>
    <n v="5"/>
    <x v="5"/>
    <x v="7"/>
    <s v="CAD millions"/>
    <n v="1484"/>
    <s v="10_Raw_Segment_Results"/>
    <s v="H33"/>
  </r>
  <r>
    <x v="2"/>
    <x v="12"/>
    <n v="5"/>
    <x v="5"/>
    <x v="10"/>
    <s v="%"/>
    <n v="0.14799999999999999"/>
    <s v="10_Raw_Segment_Results"/>
    <s v="I33"/>
  </r>
  <r>
    <x v="2"/>
    <x v="12"/>
    <n v="5"/>
    <x v="5"/>
    <x v="11"/>
    <s v="%"/>
    <m/>
    <s v="10_Raw_Segment_Results"/>
    <s v="J33"/>
  </r>
  <r>
    <x v="2"/>
    <x v="12"/>
    <n v="5"/>
    <x v="6"/>
    <x v="2"/>
    <s v="CAD millions"/>
    <n v="3"/>
    <s v="10_Raw_Segment_Results"/>
    <s v="C34"/>
  </r>
  <r>
    <x v="2"/>
    <x v="12"/>
    <n v="5"/>
    <x v="6"/>
    <x v="0"/>
    <s v="CAD millions"/>
    <n v="203"/>
    <s v="10_Raw_Segment_Results"/>
    <s v="D34"/>
  </r>
  <r>
    <x v="2"/>
    <x v="12"/>
    <n v="5"/>
    <x v="6"/>
    <x v="1"/>
    <s v="CAD millions"/>
    <n v="-279"/>
    <s v="10_Raw_Segment_Results"/>
    <s v="E34"/>
  </r>
  <r>
    <x v="2"/>
    <x v="12"/>
    <n v="5"/>
    <x v="6"/>
    <x v="15"/>
    <s v="CAD millions"/>
    <n v="1"/>
    <s v="10_Raw_Segment_Results"/>
    <s v="F34"/>
  </r>
  <r>
    <x v="2"/>
    <x v="12"/>
    <n v="5"/>
    <x v="6"/>
    <x v="4"/>
    <s v="CAD millions"/>
    <n v="95"/>
    <s v="10_Raw_Segment_Results"/>
    <s v="G34"/>
  </r>
  <r>
    <x v="2"/>
    <x v="12"/>
    <n v="5"/>
    <x v="6"/>
    <x v="7"/>
    <s v="CAD millions"/>
    <n v="-102"/>
    <s v="10_Raw_Segment_Results"/>
    <s v="H34"/>
  </r>
  <r>
    <x v="2"/>
    <x v="12"/>
    <n v="5"/>
    <x v="6"/>
    <x v="10"/>
    <s v="%"/>
    <m/>
    <s v="10_Raw_Segment_Results"/>
    <s v="I34"/>
  </r>
  <r>
    <x v="2"/>
    <x v="12"/>
    <n v="5"/>
    <x v="6"/>
    <x v="11"/>
    <s v="%"/>
    <m/>
    <s v="10_Raw_Segment_Results"/>
    <s v="J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D78488-4664-4D5B-8D90-2FEEF68AD4E6}" name="PivotTable2" cacheId="37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9:F16" firstHeaderRow="1" firstDataRow="2" firstDataCol="1" rowPageCount="2" colPageCount="1"/>
  <pivotFields count="9">
    <pivotField axis="axisPage" compact="0" outline="0" showAll="0">
      <items count="4">
        <item h="1" x="0"/>
        <item h="1" x="1"/>
        <item x="2"/>
        <item t="default"/>
      </items>
    </pivotField>
    <pivotField axis="axisCol" compact="0" outline="0" showAll="0">
      <items count="14">
        <item x="0"/>
        <item x="1"/>
        <item x="2"/>
        <item x="3"/>
        <item x="7"/>
        <item x="11"/>
        <item x="4"/>
        <item x="8"/>
        <item x="12"/>
        <item x="5"/>
        <item x="9"/>
        <item x="6"/>
        <item x="10"/>
        <item t="default"/>
      </items>
    </pivotField>
    <pivotField compact="0" outline="0" showAll="0"/>
    <pivotField axis="axisRow" compact="0" outline="0" showAll="0">
      <items count="8">
        <item x="5"/>
        <item x="2"/>
        <item x="6"/>
        <item x="4"/>
        <item x="1"/>
        <item h="1" x="0"/>
        <item x="3"/>
        <item t="default"/>
      </items>
    </pivotField>
    <pivotField axis="axisPage" compact="0" outline="0" showAll="0">
      <items count="17">
        <item h="1" x="9"/>
        <item h="1" x="14"/>
        <item h="1" x="11"/>
        <item h="1" x="5"/>
        <item h="1" x="6"/>
        <item x="7"/>
        <item h="1" x="8"/>
        <item h="1" x="0"/>
        <item h="1" x="4"/>
        <item h="1" x="1"/>
        <item h="1" x="12"/>
        <item h="1" x="15"/>
        <item h="1" x="13"/>
        <item h="1" x="3"/>
        <item h="1" x="10"/>
        <item h="1" x="2"/>
        <item t="default"/>
      </items>
    </pivotField>
    <pivotField compact="0" outline="0" showAll="0"/>
    <pivotField dataField="1" compact="0" outline="0" showAll="0"/>
    <pivotField compact="0" outline="0" showAll="0"/>
    <pivotField compact="0" outline="0" showAll="0"/>
  </pivotFields>
  <rowFields count="1">
    <field x="3"/>
  </rowFields>
  <rowItems count="6">
    <i>
      <x/>
    </i>
    <i>
      <x v="1"/>
    </i>
    <i>
      <x v="2"/>
    </i>
    <i>
      <x v="3"/>
    </i>
    <i>
      <x v="4"/>
    </i>
    <i>
      <x v="6"/>
    </i>
  </rowItems>
  <colFields count="1">
    <field x="1"/>
  </colFields>
  <colItems count="5">
    <i>
      <x/>
    </i>
    <i>
      <x v="1"/>
    </i>
    <i>
      <x v="2"/>
    </i>
    <i>
      <x v="5"/>
    </i>
    <i>
      <x v="8"/>
    </i>
  </colItems>
  <pageFields count="2">
    <pageField fld="0" item="2" hier="-1"/>
    <pageField fld="4" item="5" hier="-1"/>
  </pageFields>
  <dataFields count="1">
    <dataField name="Sum of Value" fld="6" baseField="0" baseItem="0" numFmtId="169"/>
  </dataFields>
  <formats count="1">
    <format dxfId="17">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E0426D86-4ED6-4098-943A-03C1182E0B7D}" sourceName="Period">
  <pivotTables>
    <pivotTable tabId="26" name="PivotTable2"/>
  </pivotTables>
  <data>
    <tabular pivotCacheId="1668665034">
      <items count="13">
        <i x="0" s="1"/>
        <i x="1" s="1"/>
        <i x="2" s="1"/>
        <i x="11" s="1"/>
        <i x="12" s="1"/>
        <i x="3" s="1" nd="1"/>
        <i x="7" s="1" nd="1"/>
        <i x="4" s="1" nd="1"/>
        <i x="8" s="1" nd="1"/>
        <i x="5" s="1" nd="1"/>
        <i x="9" s="1" nd="1"/>
        <i x="6"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DB2101A-A22E-4596-A93F-D7D08BEF75E1}" sourceName="Segment">
  <pivotTables>
    <pivotTable tabId="26" name="PivotTable2"/>
  </pivotTables>
  <data>
    <tabular pivotCacheId="1668665034">
      <items count="7">
        <i x="5" s="1"/>
        <i x="2" s="1"/>
        <i x="6" s="1"/>
        <i x="4" s="1"/>
        <i x="1" s="1"/>
        <i x="3"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xr10:uid="{165F44AE-8A66-4C42-BF48-6920FBC329A7}" cache="Slicer_Period" caption="Period" style="SlicerStyleDark1" rowHeight="228600"/>
  <slicer name="Segment" xr10:uid="{8B9C9888-6249-47F6-A089-2C3F276F40CC}" cache="Slicer_Segment" caption="Segment" style="SlicerStyleDark1"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RBC_Annual_Performance" displayName="RBC_Annual_Performance" ref="A4:I19">
  <tableColumns count="9">
    <tableColumn id="1" xr3:uid="{00000000-0010-0000-0000-000001000000}" name="Metric"/>
    <tableColumn id="2" xr3:uid="{00000000-0010-0000-0000-000002000000}" name="Unit"/>
    <tableColumn id="3" xr3:uid="{00000000-0010-0000-0000-000003000000}" name="FY2023"/>
    <tableColumn id="4" xr3:uid="{00000000-0010-0000-0000-000004000000}" name="FY2024"/>
    <tableColumn id="5" xr3:uid="{00000000-0010-0000-0000-000005000000}" name="FY2025"/>
    <tableColumn id="6" xr3:uid="{00000000-0010-0000-0000-000006000000}" name="Source ID"/>
    <tableColumn id="7" xr3:uid="{00000000-0010-0000-0000-000007000000}" name="Page / Table"/>
    <tableColumn id="8" xr3:uid="{00000000-0010-0000-0000-000008000000}" name="Source URL"/>
    <tableColumn id="9" xr3:uid="{00000000-0010-0000-0000-000009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RBC_Quarterly_Performance" displayName="RBC_Quarterly_Performance" ref="A4:O19">
  <tableColumns count="15">
    <tableColumn id="1" xr3:uid="{00000000-0010-0000-0100-000001000000}" name="Metric"/>
    <tableColumn id="2" xr3:uid="{00000000-0010-0000-0100-000002000000}" name="Unit"/>
    <tableColumn id="3" xr3:uid="{00000000-0010-0000-0100-000003000000}" name="Q1 2024"/>
    <tableColumn id="4" xr3:uid="{00000000-0010-0000-0100-000004000000}" name="Q2 2024"/>
    <tableColumn id="5" xr3:uid="{00000000-0010-0000-0100-000005000000}" name="Q3 2024"/>
    <tableColumn id="6" xr3:uid="{00000000-0010-0000-0100-000006000000}" name="Q4 2024"/>
    <tableColumn id="7" xr3:uid="{00000000-0010-0000-0100-000007000000}" name="Q1 2025"/>
    <tableColumn id="8" xr3:uid="{00000000-0010-0000-0100-000008000000}" name="Q2 2025"/>
    <tableColumn id="9" xr3:uid="{00000000-0010-0000-0100-000009000000}" name="Q3 2025"/>
    <tableColumn id="10" xr3:uid="{00000000-0010-0000-0100-00000A000000}" name="Q4 2025"/>
    <tableColumn id="11" xr3:uid="{00000000-0010-0000-0100-00000B000000}" name="Q1 2026"/>
    <tableColumn id="12" xr3:uid="{00000000-0010-0000-0100-00000C000000}" name="Q2 2026"/>
    <tableColumn id="13" xr3:uid="{00000000-0010-0000-0100-00000D000000}" name="Source ID"/>
    <tableColumn id="14" xr3:uid="{00000000-0010-0000-0100-00000E000000}" name="Page / Table"/>
    <tableColumn id="15" xr3:uid="{00000000-0010-0000-0100-00000F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RBC_Segment_Results" displayName="RBC_Segment_Results" ref="A4:L34">
  <tableColumns count="12">
    <tableColumn id="1" xr3:uid="{00000000-0010-0000-0200-000001000000}" name="Period"/>
    <tableColumn id="2" xr3:uid="{00000000-0010-0000-0200-000002000000}" name="Segment"/>
    <tableColumn id="3" xr3:uid="{00000000-0010-0000-0200-000003000000}" name="Total Revenue"/>
    <tableColumn id="4" xr3:uid="{00000000-0010-0000-0200-000004000000}" name="Net Interest Income"/>
    <tableColumn id="5" xr3:uid="{00000000-0010-0000-0200-000005000000}" name="Non-Interest Income"/>
    <tableColumn id="6" xr3:uid="{00000000-0010-0000-0200-000006000000}" name="PCL"/>
    <tableColumn id="7" xr3:uid="{00000000-0010-0000-0200-000007000000}" name="Non-Interest Expense"/>
    <tableColumn id="8" xr3:uid="{00000000-0010-0000-0200-000008000000}" name="Net Income"/>
    <tableColumn id="9" xr3:uid="{00000000-0010-0000-0200-000009000000}" name="ROE"/>
    <tableColumn id="10" xr3:uid="{00000000-0010-0000-0200-00000A000000}" name="Efficiency Ratio"/>
    <tableColumn id="11" xr3:uid="{00000000-0010-0000-0200-00000B000000}" name="Source ID"/>
    <tableColumn id="12" xr3:uid="{00000000-0010-0000-0200-00000C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RBC_Pivot_Source" displayName="RBC_Pivot_Source" ref="A4:I439">
  <tableColumns count="9">
    <tableColumn id="1" xr3:uid="{00000000-0010-0000-0300-000001000000}" name="Analysis Type"/>
    <tableColumn id="2" xr3:uid="{00000000-0010-0000-0300-000002000000}" name="Period"/>
    <tableColumn id="3" xr3:uid="{00000000-0010-0000-0300-000003000000}" name="Period Order"/>
    <tableColumn id="4" xr3:uid="{00000000-0010-0000-0300-000004000000}" name="Segment"/>
    <tableColumn id="5" xr3:uid="{00000000-0010-0000-0300-000005000000}" name="Metric"/>
    <tableColumn id="6" xr3:uid="{00000000-0010-0000-0300-000006000000}" name="Unit"/>
    <tableColumn id="7" xr3:uid="{00000000-0010-0000-0300-000007000000}" name="Value"/>
    <tableColumn id="8" xr3:uid="{00000000-0010-0000-0300-000008000000}" name="Source Sheet"/>
    <tableColumn id="9" xr3:uid="{00000000-0010-0000-0300-000009000000}" name="Source Cel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opLeftCell="A28" workbookViewId="0">
      <selection sqref="A1:H2"/>
    </sheetView>
  </sheetViews>
  <sheetFormatPr defaultRowHeight="14.25"/>
  <cols>
    <col min="1" max="1" width="26" customWidth="1"/>
    <col min="2" max="2" width="45" customWidth="1"/>
    <col min="3" max="8" width="14" customWidth="1"/>
  </cols>
  <sheetData>
    <row r="1" spans="1:8" ht="30" customHeight="1">
      <c r="A1" s="143" t="s">
        <v>0</v>
      </c>
      <c r="B1" s="143"/>
      <c r="C1" s="143"/>
      <c r="D1" s="143"/>
      <c r="E1" s="143"/>
      <c r="F1" s="143"/>
      <c r="G1" s="143"/>
      <c r="H1" s="143"/>
    </row>
    <row r="2" spans="1:8" ht="30" customHeight="1">
      <c r="A2" s="143"/>
      <c r="B2" s="143"/>
      <c r="C2" s="143"/>
      <c r="D2" s="143"/>
      <c r="E2" s="143"/>
      <c r="F2" s="143"/>
      <c r="G2" s="143"/>
      <c r="H2" s="143"/>
    </row>
    <row r="4" spans="1:8" ht="18">
      <c r="A4" s="187" t="s">
        <v>1</v>
      </c>
      <c r="B4" s="187"/>
      <c r="C4" s="187"/>
      <c r="D4" s="187"/>
      <c r="E4" s="187"/>
      <c r="F4" s="187"/>
      <c r="G4" s="187"/>
      <c r="H4" s="187"/>
    </row>
    <row r="6" spans="1:8" ht="15">
      <c r="A6" s="72" t="s">
        <v>2</v>
      </c>
      <c r="B6" s="73" t="s">
        <v>3</v>
      </c>
    </row>
    <row r="7" spans="1:8" ht="15">
      <c r="A7" s="74" t="s">
        <v>4</v>
      </c>
      <c r="B7" s="75" t="s">
        <v>5</v>
      </c>
    </row>
    <row r="8" spans="1:8" ht="15">
      <c r="A8" s="74" t="s">
        <v>6</v>
      </c>
      <c r="B8" s="75" t="s">
        <v>7</v>
      </c>
    </row>
    <row r="9" spans="1:8" ht="15">
      <c r="A9" s="74" t="s">
        <v>8</v>
      </c>
      <c r="B9" s="75" t="s">
        <v>9</v>
      </c>
    </row>
    <row r="10" spans="1:8" ht="15">
      <c r="A10" s="74" t="s">
        <v>10</v>
      </c>
      <c r="B10" s="75" t="s">
        <v>11</v>
      </c>
    </row>
    <row r="11" spans="1:8" ht="15">
      <c r="A11" s="74" t="s">
        <v>12</v>
      </c>
      <c r="B11" s="75" t="s">
        <v>13</v>
      </c>
    </row>
    <row r="12" spans="1:8" ht="15">
      <c r="A12" s="74" t="s">
        <v>14</v>
      </c>
      <c r="B12" s="75" t="s">
        <v>15</v>
      </c>
    </row>
    <row r="13" spans="1:8" ht="15">
      <c r="A13" s="74" t="s">
        <v>16</v>
      </c>
      <c r="B13" s="75" t="s">
        <v>17</v>
      </c>
    </row>
    <row r="14" spans="1:8" ht="15">
      <c r="A14" s="74" t="s">
        <v>18</v>
      </c>
      <c r="B14" s="75" t="s">
        <v>19</v>
      </c>
    </row>
    <row r="15" spans="1:8" ht="15">
      <c r="A15" s="74" t="s">
        <v>20</v>
      </c>
      <c r="B15" s="75" t="s">
        <v>21</v>
      </c>
    </row>
    <row r="16" spans="1:8" ht="15">
      <c r="A16" s="76" t="s">
        <v>22</v>
      </c>
      <c r="B16" s="77" t="s">
        <v>23</v>
      </c>
    </row>
    <row r="18" spans="1:8" ht="21.95" customHeight="1">
      <c r="A18" s="144" t="s">
        <v>24</v>
      </c>
      <c r="B18" s="144"/>
      <c r="C18" s="144"/>
      <c r="D18" s="144"/>
      <c r="E18" s="144"/>
      <c r="F18" s="144"/>
      <c r="G18" s="144"/>
      <c r="H18" s="144"/>
    </row>
    <row r="19" spans="1:8">
      <c r="A19" s="141" t="s">
        <v>25</v>
      </c>
      <c r="B19" s="141"/>
      <c r="C19" s="141"/>
      <c r="D19" s="141"/>
      <c r="E19" s="141"/>
      <c r="F19" s="141"/>
      <c r="G19" s="141"/>
      <c r="H19" s="141"/>
    </row>
    <row r="20" spans="1:8">
      <c r="A20" s="141"/>
      <c r="B20" s="141"/>
      <c r="C20" s="141"/>
      <c r="D20" s="141"/>
      <c r="E20" s="141"/>
      <c r="F20" s="141"/>
      <c r="G20" s="141"/>
      <c r="H20" s="141"/>
    </row>
    <row r="21" spans="1:8">
      <c r="A21" s="141"/>
      <c r="B21" s="141"/>
      <c r="C21" s="141"/>
      <c r="D21" s="141"/>
      <c r="E21" s="141"/>
      <c r="F21" s="141"/>
      <c r="G21" s="141"/>
      <c r="H21" s="141"/>
    </row>
    <row r="22" spans="1:8">
      <c r="A22" s="141"/>
      <c r="B22" s="141"/>
      <c r="C22" s="141"/>
      <c r="D22" s="141"/>
      <c r="E22" s="141"/>
      <c r="F22" s="141"/>
      <c r="G22" s="141"/>
      <c r="H22" s="141"/>
    </row>
    <row r="24" spans="1:8" ht="21.95" customHeight="1">
      <c r="A24" s="144" t="s">
        <v>26</v>
      </c>
      <c r="B24" s="144"/>
      <c r="C24" s="144"/>
      <c r="D24" s="144"/>
      <c r="E24" s="144"/>
      <c r="F24" s="144"/>
      <c r="G24" s="144"/>
      <c r="H24" s="144"/>
    </row>
    <row r="25" spans="1:8">
      <c r="A25" s="142" t="s">
        <v>27</v>
      </c>
      <c r="B25" s="142"/>
      <c r="C25" s="142"/>
      <c r="D25" s="142"/>
      <c r="E25" s="142"/>
      <c r="F25" s="142"/>
      <c r="G25" s="142"/>
      <c r="H25" s="142"/>
    </row>
    <row r="26" spans="1:8">
      <c r="A26" s="142"/>
      <c r="B26" s="142"/>
      <c r="C26" s="142"/>
      <c r="D26" s="142"/>
      <c r="E26" s="142"/>
      <c r="F26" s="142"/>
      <c r="G26" s="142"/>
      <c r="H26" s="142"/>
    </row>
    <row r="27" spans="1:8">
      <c r="A27" s="142"/>
      <c r="B27" s="142"/>
      <c r="C27" s="142"/>
      <c r="D27" s="142"/>
      <c r="E27" s="142"/>
      <c r="F27" s="142"/>
      <c r="G27" s="142"/>
      <c r="H27" s="142"/>
    </row>
    <row r="28" spans="1:8">
      <c r="A28" s="142"/>
      <c r="B28" s="142"/>
      <c r="C28" s="142"/>
      <c r="D28" s="142"/>
      <c r="E28" s="142"/>
      <c r="F28" s="142"/>
      <c r="G28" s="142"/>
      <c r="H28" s="142"/>
    </row>
    <row r="29" spans="1:8">
      <c r="A29" s="142"/>
      <c r="B29" s="142"/>
      <c r="C29" s="142"/>
      <c r="D29" s="142"/>
      <c r="E29" s="142"/>
      <c r="F29" s="142"/>
      <c r="G29" s="142"/>
      <c r="H29" s="142"/>
    </row>
    <row r="31" spans="1:8" ht="15">
      <c r="A31" s="188" t="s">
        <v>28</v>
      </c>
      <c r="B31" s="188"/>
      <c r="C31" s="188"/>
      <c r="D31" s="188"/>
      <c r="E31" s="188"/>
      <c r="F31" s="188"/>
      <c r="G31" s="188"/>
      <c r="H31" s="188"/>
    </row>
    <row r="32" spans="1:8">
      <c r="A32" s="141" t="s">
        <v>29</v>
      </c>
      <c r="B32" s="141"/>
      <c r="C32" s="141"/>
      <c r="D32" s="141"/>
      <c r="E32" s="141"/>
      <c r="F32" s="141"/>
      <c r="G32" s="141"/>
      <c r="H32" s="141"/>
    </row>
    <row r="33" spans="1:8">
      <c r="A33" s="141"/>
      <c r="B33" s="141"/>
      <c r="C33" s="141"/>
      <c r="D33" s="141"/>
      <c r="E33" s="141"/>
      <c r="F33" s="141"/>
      <c r="G33" s="141"/>
      <c r="H33" s="141"/>
    </row>
    <row r="34" spans="1:8">
      <c r="A34" s="141"/>
      <c r="B34" s="141"/>
      <c r="C34" s="141"/>
      <c r="D34" s="141"/>
      <c r="E34" s="141"/>
      <c r="F34" s="141"/>
      <c r="G34" s="141"/>
      <c r="H34" s="141"/>
    </row>
    <row r="35" spans="1:8">
      <c r="A35" s="141"/>
      <c r="B35" s="141"/>
      <c r="C35" s="141"/>
      <c r="D35" s="141"/>
      <c r="E35" s="141"/>
      <c r="F35" s="141"/>
      <c r="G35" s="141"/>
      <c r="H35" s="141"/>
    </row>
  </sheetData>
  <mergeCells count="8">
    <mergeCell ref="A31:H31"/>
    <mergeCell ref="A32:H35"/>
    <mergeCell ref="A25:H29"/>
    <mergeCell ref="A1:H2"/>
    <mergeCell ref="A4:H4"/>
    <mergeCell ref="A18:H18"/>
    <mergeCell ref="A19:H22"/>
    <mergeCell ref="A24:H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
  <sheetViews>
    <sheetView workbookViewId="0"/>
  </sheetViews>
  <sheetFormatPr defaultRowHeight="14.25"/>
  <cols>
    <col min="1" max="1" width="28" customWidth="1"/>
    <col min="2" max="2" width="75" customWidth="1"/>
    <col min="3" max="4" width="12" customWidth="1"/>
    <col min="5" max="5" width="35" customWidth="1"/>
    <col min="6" max="8" width="12" customWidth="1"/>
  </cols>
  <sheetData>
    <row r="1" spans="1:8" ht="30" customHeight="1">
      <c r="A1" s="145" t="s">
        <v>30</v>
      </c>
      <c r="B1" s="145"/>
      <c r="C1" s="145"/>
      <c r="D1" s="145"/>
      <c r="E1" s="145"/>
      <c r="F1" s="145"/>
      <c r="G1" s="145"/>
      <c r="H1" s="145"/>
    </row>
    <row r="2" spans="1:8" ht="30" customHeight="1">
      <c r="A2" s="145"/>
      <c r="B2" s="145"/>
      <c r="C2" s="145"/>
      <c r="D2" s="145"/>
      <c r="E2" s="145"/>
      <c r="F2" s="145"/>
      <c r="G2" s="145"/>
      <c r="H2" s="145"/>
    </row>
    <row r="4" spans="1:8" ht="21.95" customHeight="1">
      <c r="A4" s="144" t="s">
        <v>31</v>
      </c>
      <c r="B4" s="144"/>
      <c r="C4" s="144"/>
      <c r="D4" s="144"/>
      <c r="E4" s="144"/>
      <c r="F4" s="144"/>
      <c r="G4" s="144"/>
      <c r="H4" s="144"/>
    </row>
    <row r="5" spans="1:8" ht="15">
      <c r="A5" s="59" t="s">
        <v>32</v>
      </c>
      <c r="B5" s="61" t="s">
        <v>33</v>
      </c>
    </row>
    <row r="6" spans="1:8" ht="29.25">
      <c r="A6" s="80" t="s">
        <v>34</v>
      </c>
      <c r="B6" s="66" t="s">
        <v>35</v>
      </c>
    </row>
    <row r="7" spans="1:8" ht="15">
      <c r="A7" s="80" t="s">
        <v>2</v>
      </c>
      <c r="B7" s="66" t="s">
        <v>3</v>
      </c>
    </row>
    <row r="8" spans="1:8" ht="15">
      <c r="A8" s="80" t="s">
        <v>6</v>
      </c>
      <c r="B8" s="66" t="s">
        <v>7</v>
      </c>
    </row>
    <row r="9" spans="1:8" ht="15">
      <c r="A9" s="80" t="s">
        <v>18</v>
      </c>
      <c r="B9" s="66" t="s">
        <v>19</v>
      </c>
    </row>
    <row r="10" spans="1:8" ht="15">
      <c r="A10" s="80" t="s">
        <v>36</v>
      </c>
      <c r="B10" s="66" t="s">
        <v>9</v>
      </c>
    </row>
    <row r="11" spans="1:8" ht="15">
      <c r="A11" s="80" t="s">
        <v>10</v>
      </c>
      <c r="B11" s="66" t="s">
        <v>11</v>
      </c>
    </row>
    <row r="12" spans="1:8" ht="15">
      <c r="A12" s="80" t="s">
        <v>12</v>
      </c>
      <c r="B12" s="66" t="s">
        <v>13</v>
      </c>
    </row>
    <row r="13" spans="1:8" ht="15">
      <c r="A13" s="80" t="s">
        <v>37</v>
      </c>
      <c r="B13" s="66" t="s">
        <v>38</v>
      </c>
    </row>
    <row r="14" spans="1:8" ht="15">
      <c r="A14" s="80" t="s">
        <v>20</v>
      </c>
      <c r="B14" s="66" t="s">
        <v>21</v>
      </c>
    </row>
    <row r="15" spans="1:8" ht="15">
      <c r="A15" s="80" t="s">
        <v>16</v>
      </c>
      <c r="B15" s="66" t="s">
        <v>17</v>
      </c>
    </row>
    <row r="16" spans="1:8" ht="15">
      <c r="A16" s="80" t="s">
        <v>22</v>
      </c>
      <c r="B16" s="66" t="s">
        <v>23</v>
      </c>
    </row>
    <row r="18" spans="1:8" ht="21.95" customHeight="1">
      <c r="A18" s="144" t="s">
        <v>39</v>
      </c>
      <c r="B18" s="144"/>
      <c r="C18" s="144"/>
      <c r="D18" s="144"/>
      <c r="E18" s="144"/>
      <c r="F18" s="144"/>
      <c r="G18" s="144"/>
      <c r="H18" s="144"/>
    </row>
    <row r="19" spans="1:8">
      <c r="A19" s="141" t="s">
        <v>40</v>
      </c>
      <c r="B19" s="141"/>
      <c r="C19" s="141"/>
      <c r="D19" s="141"/>
      <c r="E19" s="141"/>
      <c r="F19" s="141"/>
      <c r="G19" s="141"/>
      <c r="H19" s="141"/>
    </row>
    <row r="20" spans="1:8">
      <c r="A20" s="141"/>
      <c r="B20" s="141"/>
      <c r="C20" s="141"/>
      <c r="D20" s="141"/>
      <c r="E20" s="141"/>
      <c r="F20" s="141"/>
      <c r="G20" s="141"/>
      <c r="H20" s="141"/>
    </row>
    <row r="21" spans="1:8">
      <c r="A21" s="141"/>
      <c r="B21" s="141"/>
      <c r="C21" s="141"/>
      <c r="D21" s="141"/>
      <c r="E21" s="141"/>
      <c r="F21" s="141"/>
      <c r="G21" s="141"/>
      <c r="H21" s="141"/>
    </row>
    <row r="22" spans="1:8">
      <c r="A22" s="141"/>
      <c r="B22" s="141"/>
      <c r="C22" s="141"/>
      <c r="D22" s="141"/>
      <c r="E22" s="141"/>
      <c r="F22" s="141"/>
      <c r="G22" s="141"/>
      <c r="H22" s="141"/>
    </row>
    <row r="24" spans="1:8" ht="21.95" customHeight="1">
      <c r="A24" s="144" t="s">
        <v>41</v>
      </c>
      <c r="B24" s="144"/>
      <c r="C24" s="144"/>
      <c r="D24" s="144"/>
      <c r="E24" s="144"/>
      <c r="F24" s="144"/>
      <c r="G24" s="144"/>
      <c r="H24" s="144"/>
    </row>
    <row r="25" spans="1:8" ht="15">
      <c r="A25" s="69" t="s">
        <v>42</v>
      </c>
      <c r="B25" s="66" t="s">
        <v>43</v>
      </c>
    </row>
    <row r="26" spans="1:8" ht="15">
      <c r="A26" s="69" t="s">
        <v>44</v>
      </c>
      <c r="B26" s="66" t="s">
        <v>45</v>
      </c>
    </row>
    <row r="27" spans="1:8" ht="15">
      <c r="A27" s="69" t="s">
        <v>46</v>
      </c>
      <c r="B27" s="66" t="s">
        <v>47</v>
      </c>
    </row>
    <row r="28" spans="1:8" ht="15">
      <c r="A28" s="69" t="s">
        <v>48</v>
      </c>
      <c r="B28" s="66" t="s">
        <v>49</v>
      </c>
    </row>
    <row r="29" spans="1:8" ht="15">
      <c r="A29" s="69" t="s">
        <v>50</v>
      </c>
      <c r="B29" s="66" t="s">
        <v>51</v>
      </c>
    </row>
    <row r="30" spans="1:8" ht="15">
      <c r="A30" s="69" t="s">
        <v>52</v>
      </c>
      <c r="B30" s="66" t="s">
        <v>53</v>
      </c>
    </row>
    <row r="31" spans="1:8" ht="15">
      <c r="A31" s="69" t="s">
        <v>54</v>
      </c>
      <c r="B31" s="66" t="s">
        <v>55</v>
      </c>
    </row>
    <row r="32" spans="1:8" ht="15">
      <c r="A32" s="69" t="s">
        <v>56</v>
      </c>
      <c r="B32" s="66" t="s">
        <v>57</v>
      </c>
    </row>
    <row r="33" spans="1:8" ht="15">
      <c r="A33" s="69" t="s">
        <v>58</v>
      </c>
      <c r="B33" s="66" t="s">
        <v>59</v>
      </c>
    </row>
    <row r="35" spans="1:8" ht="21.95" customHeight="1">
      <c r="A35" s="144" t="s">
        <v>60</v>
      </c>
      <c r="B35" s="144"/>
      <c r="C35" s="144"/>
      <c r="D35" s="144"/>
      <c r="E35" s="144" t="s">
        <v>61</v>
      </c>
      <c r="F35" s="144"/>
      <c r="G35" s="144"/>
      <c r="H35" s="144"/>
    </row>
    <row r="36" spans="1:8">
      <c r="A36" s="1" t="s">
        <v>62</v>
      </c>
      <c r="E36" s="1" t="s">
        <v>63</v>
      </c>
    </row>
    <row r="37" spans="1:8">
      <c r="A37" s="1" t="s">
        <v>64</v>
      </c>
      <c r="E37" s="1" t="s">
        <v>65</v>
      </c>
    </row>
    <row r="38" spans="1:8">
      <c r="A38" s="1" t="s">
        <v>66</v>
      </c>
      <c r="E38" s="1" t="s">
        <v>67</v>
      </c>
    </row>
    <row r="39" spans="1:8">
      <c r="A39" s="1" t="s">
        <v>68</v>
      </c>
      <c r="E39" s="1" t="s">
        <v>69</v>
      </c>
    </row>
    <row r="40" spans="1:8">
      <c r="A40" s="1" t="s">
        <v>70</v>
      </c>
      <c r="E40" s="1" t="s">
        <v>71</v>
      </c>
    </row>
    <row r="41" spans="1:8">
      <c r="A41" s="1" t="s">
        <v>72</v>
      </c>
      <c r="E41" s="1" t="s">
        <v>73</v>
      </c>
    </row>
    <row r="42" spans="1:8">
      <c r="A42" s="1" t="s">
        <v>74</v>
      </c>
      <c r="E42" s="1" t="s">
        <v>75</v>
      </c>
    </row>
    <row r="43" spans="1:8">
      <c r="A43" s="1" t="s">
        <v>76</v>
      </c>
      <c r="E43" s="1" t="s">
        <v>77</v>
      </c>
    </row>
    <row r="45" spans="1:8" ht="15">
      <c r="A45" s="188" t="s">
        <v>78</v>
      </c>
      <c r="B45" s="188"/>
      <c r="C45" s="188"/>
      <c r="D45" s="188"/>
      <c r="E45" s="188"/>
      <c r="F45" s="188"/>
      <c r="G45" s="188"/>
      <c r="H45" s="188"/>
    </row>
    <row r="46" spans="1:8" ht="15">
      <c r="A46" s="81" t="s">
        <v>79</v>
      </c>
      <c r="B46" s="81" t="s">
        <v>80</v>
      </c>
    </row>
    <row r="47" spans="1:8" ht="29.25">
      <c r="A47" s="80" t="s">
        <v>81</v>
      </c>
      <c r="B47" s="66" t="s">
        <v>82</v>
      </c>
    </row>
    <row r="48" spans="1:8" ht="15">
      <c r="A48" s="80" t="s">
        <v>83</v>
      </c>
      <c r="B48" s="66" t="s">
        <v>84</v>
      </c>
    </row>
    <row r="49" spans="1:2" ht="15">
      <c r="A49" s="80" t="s">
        <v>85</v>
      </c>
      <c r="B49" s="66" t="s">
        <v>86</v>
      </c>
    </row>
    <row r="50" spans="1:2" ht="15">
      <c r="A50" s="80" t="s">
        <v>87</v>
      </c>
      <c r="B50" s="66" t="s">
        <v>88</v>
      </c>
    </row>
    <row r="51" spans="1:2" ht="15">
      <c r="A51" s="80" t="s">
        <v>89</v>
      </c>
      <c r="B51" s="66" t="s">
        <v>90</v>
      </c>
    </row>
    <row r="52" spans="1:2" ht="15">
      <c r="A52" s="80" t="s">
        <v>91</v>
      </c>
      <c r="B52" s="66" t="s">
        <v>92</v>
      </c>
    </row>
  </sheetData>
  <mergeCells count="8">
    <mergeCell ref="A45:H45"/>
    <mergeCell ref="A35:D35"/>
    <mergeCell ref="E35:H35"/>
    <mergeCell ref="A1:H2"/>
    <mergeCell ref="A4:H4"/>
    <mergeCell ref="A18:H18"/>
    <mergeCell ref="A19:H22"/>
    <mergeCell ref="A24:H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topLeftCell="A16" workbookViewId="0"/>
  </sheetViews>
  <sheetFormatPr defaultRowHeight="14.25"/>
  <cols>
    <col min="1" max="1" width="16" customWidth="1"/>
    <col min="2" max="2" width="38" customWidth="1"/>
    <col min="3" max="3" width="16" customWidth="1"/>
    <col min="4" max="4" width="24" customWidth="1"/>
    <col min="5" max="5" width="42" customWidth="1"/>
    <col min="6" max="6" width="10" customWidth="1"/>
    <col min="7" max="7" width="16" customWidth="1"/>
    <col min="8" max="8" width="18" customWidth="1"/>
    <col min="9" max="9" width="48" customWidth="1"/>
    <col min="10" max="10" width="28" customWidth="1"/>
  </cols>
  <sheetData>
    <row r="1" spans="1:10" ht="30" customHeight="1">
      <c r="A1" s="145" t="s">
        <v>93</v>
      </c>
      <c r="B1" s="145"/>
      <c r="C1" s="145"/>
      <c r="D1" s="145"/>
      <c r="E1" s="145"/>
      <c r="F1" s="145"/>
      <c r="G1" s="145"/>
      <c r="H1" s="145"/>
      <c r="I1" s="145"/>
      <c r="J1" s="145"/>
    </row>
    <row r="2" spans="1:10" ht="30" customHeight="1">
      <c r="A2" s="145"/>
      <c r="B2" s="145"/>
      <c r="C2" s="145"/>
      <c r="D2" s="145"/>
      <c r="E2" s="145"/>
      <c r="F2" s="145"/>
      <c r="G2" s="145"/>
      <c r="H2" s="145"/>
      <c r="I2" s="145"/>
      <c r="J2" s="145"/>
    </row>
    <row r="4" spans="1:10" ht="30">
      <c r="A4" s="59" t="s">
        <v>94</v>
      </c>
      <c r="B4" s="60" t="s">
        <v>95</v>
      </c>
      <c r="C4" s="60" t="s">
        <v>8</v>
      </c>
      <c r="D4" s="60" t="s">
        <v>96</v>
      </c>
      <c r="E4" s="60" t="s">
        <v>97</v>
      </c>
      <c r="F4" s="60" t="s">
        <v>98</v>
      </c>
      <c r="G4" s="60" t="s">
        <v>99</v>
      </c>
      <c r="H4" s="60" t="s">
        <v>100</v>
      </c>
      <c r="I4" s="60" t="s">
        <v>101</v>
      </c>
      <c r="J4" s="61" t="s">
        <v>102</v>
      </c>
    </row>
    <row r="5" spans="1:10" ht="43.5">
      <c r="A5" s="2" t="s">
        <v>103</v>
      </c>
      <c r="B5" s="2" t="s">
        <v>104</v>
      </c>
      <c r="C5" s="2" t="s">
        <v>105</v>
      </c>
      <c r="D5" s="2" t="s">
        <v>106</v>
      </c>
      <c r="E5" s="2" t="s">
        <v>107</v>
      </c>
      <c r="F5" s="2" t="s">
        <v>108</v>
      </c>
      <c r="G5" s="2" t="s">
        <v>109</v>
      </c>
      <c r="H5" s="2"/>
      <c r="I5" s="2" t="s">
        <v>110</v>
      </c>
      <c r="J5" s="2" t="s">
        <v>111</v>
      </c>
    </row>
    <row r="6" spans="1:10" ht="43.5">
      <c r="A6" s="2" t="s">
        <v>112</v>
      </c>
      <c r="B6" s="2" t="s">
        <v>113</v>
      </c>
      <c r="C6" s="2" t="s">
        <v>114</v>
      </c>
      <c r="D6" s="2" t="s">
        <v>115</v>
      </c>
      <c r="E6" s="2" t="s">
        <v>116</v>
      </c>
      <c r="F6" s="2" t="s">
        <v>108</v>
      </c>
      <c r="G6" s="2" t="s">
        <v>109</v>
      </c>
      <c r="H6" s="2"/>
      <c r="I6" s="2" t="s">
        <v>110</v>
      </c>
      <c r="J6" s="2" t="s">
        <v>111</v>
      </c>
    </row>
    <row r="7" spans="1:10" ht="43.5">
      <c r="A7" s="2" t="s">
        <v>117</v>
      </c>
      <c r="B7" s="2" t="s">
        <v>118</v>
      </c>
      <c r="C7" s="2" t="s">
        <v>114</v>
      </c>
      <c r="D7" s="2" t="s">
        <v>115</v>
      </c>
      <c r="E7" s="2" t="s">
        <v>119</v>
      </c>
      <c r="F7" s="2" t="s">
        <v>120</v>
      </c>
      <c r="G7" s="2" t="s">
        <v>109</v>
      </c>
      <c r="H7" s="2"/>
      <c r="I7" s="2" t="s">
        <v>110</v>
      </c>
      <c r="J7" s="2" t="s">
        <v>111</v>
      </c>
    </row>
    <row r="8" spans="1:10" ht="43.5">
      <c r="A8" s="2" t="s">
        <v>121</v>
      </c>
      <c r="B8" s="2" t="s">
        <v>122</v>
      </c>
      <c r="C8" s="2" t="s">
        <v>123</v>
      </c>
      <c r="D8" s="2" t="s">
        <v>124</v>
      </c>
      <c r="E8" s="2" t="s">
        <v>125</v>
      </c>
      <c r="F8" s="2" t="s">
        <v>108</v>
      </c>
      <c r="G8" s="2" t="s">
        <v>109</v>
      </c>
      <c r="H8" s="2"/>
      <c r="I8" s="2" t="s">
        <v>110</v>
      </c>
      <c r="J8" s="2" t="s">
        <v>111</v>
      </c>
    </row>
    <row r="9" spans="1:10" ht="43.5">
      <c r="A9" s="2" t="s">
        <v>126</v>
      </c>
      <c r="B9" s="2" t="s">
        <v>127</v>
      </c>
      <c r="C9" s="2" t="s">
        <v>123</v>
      </c>
      <c r="D9" s="2" t="s">
        <v>115</v>
      </c>
      <c r="E9" s="2" t="s">
        <v>128</v>
      </c>
      <c r="F9" s="2" t="s">
        <v>108</v>
      </c>
      <c r="G9" s="2" t="s">
        <v>109</v>
      </c>
      <c r="H9" s="2"/>
      <c r="I9" s="2" t="s">
        <v>110</v>
      </c>
      <c r="J9" s="2" t="s">
        <v>111</v>
      </c>
    </row>
    <row r="10" spans="1:10" ht="43.5">
      <c r="A10" s="2" t="s">
        <v>129</v>
      </c>
      <c r="B10" s="2" t="s">
        <v>130</v>
      </c>
      <c r="C10" s="2" t="s">
        <v>123</v>
      </c>
      <c r="D10" s="2" t="s">
        <v>115</v>
      </c>
      <c r="E10" s="2" t="s">
        <v>131</v>
      </c>
      <c r="F10" s="2" t="s">
        <v>120</v>
      </c>
      <c r="G10" s="2" t="s">
        <v>109</v>
      </c>
      <c r="H10" s="2"/>
      <c r="I10" s="2" t="s">
        <v>110</v>
      </c>
      <c r="J10" s="2" t="s">
        <v>111</v>
      </c>
    </row>
    <row r="11" spans="1:10" ht="43.5">
      <c r="A11" s="2" t="s">
        <v>132</v>
      </c>
      <c r="B11" s="2" t="s">
        <v>133</v>
      </c>
      <c r="C11" s="2" t="s">
        <v>123</v>
      </c>
      <c r="D11" s="2" t="s">
        <v>134</v>
      </c>
      <c r="E11" s="2" t="s">
        <v>135</v>
      </c>
      <c r="F11" s="2" t="s">
        <v>108</v>
      </c>
      <c r="G11" s="2" t="s">
        <v>109</v>
      </c>
      <c r="H11" s="2"/>
      <c r="I11" s="2" t="s">
        <v>110</v>
      </c>
      <c r="J11" s="2" t="s">
        <v>111</v>
      </c>
    </row>
    <row r="12" spans="1:10" ht="43.5">
      <c r="A12" s="2" t="s">
        <v>136</v>
      </c>
      <c r="B12" s="2" t="s">
        <v>137</v>
      </c>
      <c r="C12" s="2" t="s">
        <v>123</v>
      </c>
      <c r="D12" s="2" t="s">
        <v>138</v>
      </c>
      <c r="E12" s="2" t="s">
        <v>139</v>
      </c>
      <c r="F12" s="2" t="s">
        <v>120</v>
      </c>
      <c r="G12" s="2" t="s">
        <v>109</v>
      </c>
      <c r="H12" s="2"/>
      <c r="I12" s="2" t="s">
        <v>110</v>
      </c>
      <c r="J12" s="2" t="s">
        <v>111</v>
      </c>
    </row>
    <row r="13" spans="1:10" ht="43.5">
      <c r="A13" s="2" t="s">
        <v>140</v>
      </c>
      <c r="B13" s="2" t="s">
        <v>141</v>
      </c>
      <c r="C13" s="2" t="s">
        <v>123</v>
      </c>
      <c r="D13" s="2" t="s">
        <v>142</v>
      </c>
      <c r="E13" s="2" t="s">
        <v>143</v>
      </c>
      <c r="F13" s="2" t="s">
        <v>108</v>
      </c>
      <c r="G13" s="2" t="s">
        <v>109</v>
      </c>
      <c r="H13" s="2"/>
      <c r="I13" s="2" t="s">
        <v>110</v>
      </c>
      <c r="J13" s="2" t="s">
        <v>111</v>
      </c>
    </row>
  </sheetData>
  <mergeCells count="1">
    <mergeCell ref="A1:J2"/>
  </mergeCells>
  <conditionalFormatting sqref="G5:G100">
    <cfRule type="expression" dxfId="16" priority="1">
      <formula>G5="Validated"</formula>
    </cfRule>
    <cfRule type="expression" dxfId="15" priority="2">
      <formula>G5="In Progress"</formula>
    </cfRule>
    <cfRule type="expression" dxfId="14" priority="3">
      <formula>G5="Not Started"</formula>
    </cfRule>
  </conditionalFormatting>
  <dataValidations count="1">
    <dataValidation type="list" sqref="G5:G100" xr:uid="{00000000-0002-0000-0200-000000000000}">
      <formula1>"Not Started,In Progress,Completed,Validated"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heetViews>
  <sheetFormatPr defaultRowHeight="14.25"/>
  <cols>
    <col min="1" max="1" width="28" customWidth="1"/>
    <col min="2" max="2" width="14" customWidth="1"/>
    <col min="3" max="4" width="48" customWidth="1"/>
    <col min="5" max="5" width="30" customWidth="1"/>
  </cols>
  <sheetData>
    <row r="1" spans="1:5" ht="30" customHeight="1">
      <c r="A1" s="145" t="s">
        <v>144</v>
      </c>
      <c r="B1" s="145"/>
      <c r="C1" s="145"/>
      <c r="D1" s="145"/>
      <c r="E1" s="145"/>
    </row>
    <row r="2" spans="1:5" ht="30" customHeight="1">
      <c r="A2" s="145"/>
      <c r="B2" s="145"/>
      <c r="C2" s="145"/>
      <c r="D2" s="145"/>
      <c r="E2" s="145"/>
    </row>
    <row r="4" spans="1:5" ht="15">
      <c r="A4" s="59" t="s">
        <v>145</v>
      </c>
      <c r="B4" s="60" t="s">
        <v>146</v>
      </c>
      <c r="C4" s="60" t="s">
        <v>147</v>
      </c>
      <c r="D4" s="60" t="s">
        <v>148</v>
      </c>
      <c r="E4" s="61" t="s">
        <v>149</v>
      </c>
    </row>
    <row r="5" spans="1:5" ht="28.5">
      <c r="A5" s="2" t="s">
        <v>150</v>
      </c>
      <c r="B5" s="2" t="s">
        <v>151</v>
      </c>
      <c r="C5" s="2" t="s">
        <v>152</v>
      </c>
      <c r="D5" s="2" t="s">
        <v>153</v>
      </c>
      <c r="E5" s="2" t="s">
        <v>154</v>
      </c>
    </row>
    <row r="6" spans="1:5" ht="28.5">
      <c r="A6" s="2" t="s">
        <v>155</v>
      </c>
      <c r="B6" s="2" t="s">
        <v>156</v>
      </c>
      <c r="C6" s="2" t="s">
        <v>157</v>
      </c>
      <c r="D6" s="2" t="s">
        <v>158</v>
      </c>
      <c r="E6" s="2" t="s">
        <v>159</v>
      </c>
    </row>
    <row r="7" spans="1:5" ht="28.5">
      <c r="A7" s="2" t="s">
        <v>160</v>
      </c>
      <c r="B7" s="2" t="s">
        <v>161</v>
      </c>
      <c r="C7" s="2" t="s">
        <v>162</v>
      </c>
      <c r="D7" s="2" t="s">
        <v>163</v>
      </c>
      <c r="E7" s="2" t="s">
        <v>164</v>
      </c>
    </row>
    <row r="8" spans="1:5" ht="28.5">
      <c r="A8" s="2" t="s">
        <v>165</v>
      </c>
      <c r="B8" s="2" t="s">
        <v>166</v>
      </c>
      <c r="C8" s="2" t="s">
        <v>167</v>
      </c>
      <c r="D8" s="2" t="s">
        <v>168</v>
      </c>
      <c r="E8" s="2" t="s">
        <v>164</v>
      </c>
    </row>
    <row r="9" spans="1:5">
      <c r="A9" s="2" t="s">
        <v>169</v>
      </c>
      <c r="B9" s="2" t="s">
        <v>170</v>
      </c>
      <c r="C9" s="2" t="s">
        <v>171</v>
      </c>
      <c r="D9" s="2" t="s">
        <v>172</v>
      </c>
      <c r="E9" s="2" t="s">
        <v>159</v>
      </c>
    </row>
    <row r="10" spans="1:5" ht="28.5">
      <c r="A10" s="2" t="s">
        <v>173</v>
      </c>
      <c r="B10" s="2" t="s">
        <v>174</v>
      </c>
      <c r="C10" s="2" t="s">
        <v>175</v>
      </c>
      <c r="D10" s="2" t="s">
        <v>176</v>
      </c>
      <c r="E10" s="2" t="s">
        <v>177</v>
      </c>
    </row>
    <row r="11" spans="1:5">
      <c r="A11" s="2" t="s">
        <v>178</v>
      </c>
      <c r="B11" s="2" t="s">
        <v>179</v>
      </c>
      <c r="C11" s="2" t="s">
        <v>180</v>
      </c>
      <c r="D11" s="2" t="s">
        <v>181</v>
      </c>
      <c r="E11" s="2" t="s">
        <v>177</v>
      </c>
    </row>
    <row r="12" spans="1:5" ht="28.5">
      <c r="A12" s="2" t="s">
        <v>182</v>
      </c>
      <c r="B12" s="2" t="s">
        <v>183</v>
      </c>
      <c r="C12" s="2" t="s">
        <v>184</v>
      </c>
      <c r="D12" s="2" t="s">
        <v>185</v>
      </c>
      <c r="E12" s="2" t="s">
        <v>159</v>
      </c>
    </row>
    <row r="13" spans="1:5" ht="28.5">
      <c r="A13" s="2" t="s">
        <v>186</v>
      </c>
      <c r="B13" s="2" t="s">
        <v>156</v>
      </c>
      <c r="C13" s="2" t="s">
        <v>187</v>
      </c>
      <c r="D13" s="2" t="s">
        <v>188</v>
      </c>
      <c r="E13" s="2" t="s">
        <v>159</v>
      </c>
    </row>
    <row r="14" spans="1:5">
      <c r="A14" s="2" t="s">
        <v>189</v>
      </c>
      <c r="B14" s="2" t="s">
        <v>156</v>
      </c>
      <c r="C14" s="2" t="s">
        <v>190</v>
      </c>
      <c r="D14" s="2" t="s">
        <v>191</v>
      </c>
      <c r="E14" s="2" t="s">
        <v>192</v>
      </c>
    </row>
    <row r="15" spans="1:5" ht="28.5">
      <c r="A15" s="2" t="s">
        <v>193</v>
      </c>
      <c r="B15" s="2" t="s">
        <v>194</v>
      </c>
      <c r="C15" s="2" t="s">
        <v>195</v>
      </c>
      <c r="D15" s="2" t="s">
        <v>196</v>
      </c>
      <c r="E15" s="2" t="s">
        <v>197</v>
      </c>
    </row>
    <row r="16" spans="1:5" ht="28.5">
      <c r="A16" s="2" t="s">
        <v>198</v>
      </c>
      <c r="B16" s="2" t="s">
        <v>199</v>
      </c>
      <c r="C16" s="2" t="s">
        <v>200</v>
      </c>
      <c r="D16" s="2" t="s">
        <v>201</v>
      </c>
      <c r="E16" s="2" t="s">
        <v>197</v>
      </c>
    </row>
    <row r="17" spans="1:5">
      <c r="A17" s="2" t="s">
        <v>202</v>
      </c>
      <c r="B17" s="2" t="s">
        <v>203</v>
      </c>
      <c r="C17" s="2" t="s">
        <v>204</v>
      </c>
      <c r="D17" s="2" t="s">
        <v>205</v>
      </c>
      <c r="E17" s="2" t="s">
        <v>159</v>
      </c>
    </row>
    <row r="18" spans="1:5" ht="28.5">
      <c r="A18" s="2" t="s">
        <v>206</v>
      </c>
      <c r="B18" s="2" t="s">
        <v>207</v>
      </c>
      <c r="C18" s="2" t="s">
        <v>208</v>
      </c>
      <c r="D18" s="2" t="s">
        <v>209</v>
      </c>
      <c r="E18" s="2" t="s">
        <v>192</v>
      </c>
    </row>
    <row r="19" spans="1:5" ht="28.5">
      <c r="A19" s="2" t="s">
        <v>210</v>
      </c>
      <c r="B19" s="2" t="s">
        <v>156</v>
      </c>
      <c r="C19" s="2" t="s">
        <v>211</v>
      </c>
      <c r="D19" s="2" t="s">
        <v>212</v>
      </c>
      <c r="E19" s="2" t="s">
        <v>192</v>
      </c>
    </row>
    <row r="20" spans="1:5" ht="28.5">
      <c r="A20" s="2" t="s">
        <v>213</v>
      </c>
      <c r="B20" s="2" t="s">
        <v>156</v>
      </c>
      <c r="C20" s="2" t="s">
        <v>214</v>
      </c>
      <c r="D20" s="2" t="s">
        <v>215</v>
      </c>
      <c r="E20" s="2" t="s">
        <v>192</v>
      </c>
    </row>
  </sheetData>
  <mergeCells count="1">
    <mergeCell ref="A1: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topLeftCell="H35" workbookViewId="0"/>
  </sheetViews>
  <sheetFormatPr defaultRowHeight="14.25"/>
  <cols>
    <col min="1" max="1" width="40" customWidth="1"/>
    <col min="2" max="2" width="18" customWidth="1"/>
    <col min="3" max="5" width="14" customWidth="1"/>
    <col min="6" max="6" width="16" customWidth="1"/>
    <col min="7" max="7" width="20" customWidth="1"/>
    <col min="8" max="8" width="48" customWidth="1"/>
    <col min="9" max="9" width="44.5" customWidth="1"/>
  </cols>
  <sheetData>
    <row r="1" spans="1:9" ht="30" customHeight="1">
      <c r="A1" s="145" t="s">
        <v>216</v>
      </c>
      <c r="B1" s="145"/>
      <c r="C1" s="145"/>
      <c r="D1" s="145"/>
      <c r="E1" s="145"/>
      <c r="F1" s="145"/>
      <c r="G1" s="145"/>
      <c r="H1" s="145"/>
      <c r="I1" s="145"/>
    </row>
    <row r="2" spans="1:9" ht="30" customHeight="1">
      <c r="A2" s="145"/>
      <c r="B2" s="145"/>
      <c r="C2" s="145"/>
      <c r="D2" s="145"/>
      <c r="E2" s="145"/>
      <c r="F2" s="145"/>
      <c r="G2" s="145"/>
      <c r="H2" s="145"/>
      <c r="I2" s="145"/>
    </row>
    <row r="4" spans="1:9" ht="15">
      <c r="A4" s="59" t="s">
        <v>217</v>
      </c>
      <c r="B4" s="60" t="s">
        <v>218</v>
      </c>
      <c r="C4" s="60" t="s">
        <v>219</v>
      </c>
      <c r="D4" s="60" t="s">
        <v>220</v>
      </c>
      <c r="E4" s="60" t="s">
        <v>105</v>
      </c>
      <c r="F4" s="60" t="s">
        <v>94</v>
      </c>
      <c r="G4" s="60" t="s">
        <v>100</v>
      </c>
      <c r="H4" s="60" t="s">
        <v>101</v>
      </c>
      <c r="I4" s="61" t="s">
        <v>102</v>
      </c>
    </row>
    <row r="5" spans="1:9" ht="42.75">
      <c r="A5" t="s">
        <v>150</v>
      </c>
      <c r="B5" t="s">
        <v>221</v>
      </c>
      <c r="C5" s="82">
        <v>25129</v>
      </c>
      <c r="D5" s="83">
        <v>27953</v>
      </c>
      <c r="E5" s="84">
        <v>33000</v>
      </c>
      <c r="F5" s="85" t="s">
        <v>222</v>
      </c>
      <c r="G5" s="86" t="s">
        <v>223</v>
      </c>
      <c r="H5" s="66" t="s">
        <v>110</v>
      </c>
      <c r="I5" s="66" t="s">
        <v>224</v>
      </c>
    </row>
    <row r="6" spans="1:9" ht="42.75">
      <c r="A6" t="s">
        <v>155</v>
      </c>
      <c r="B6" t="s">
        <v>221</v>
      </c>
      <c r="C6" s="82">
        <v>26335</v>
      </c>
      <c r="D6" s="83">
        <v>29391</v>
      </c>
      <c r="E6" s="84">
        <v>33605</v>
      </c>
      <c r="F6" s="87" t="s">
        <v>222</v>
      </c>
      <c r="G6" s="88" t="s">
        <v>223</v>
      </c>
      <c r="H6" s="66" t="s">
        <v>110</v>
      </c>
      <c r="I6" s="66" t="s">
        <v>224</v>
      </c>
    </row>
    <row r="7" spans="1:9" ht="42.75">
      <c r="A7" t="s">
        <v>225</v>
      </c>
      <c r="B7" t="s">
        <v>221</v>
      </c>
      <c r="C7" s="82">
        <v>51464</v>
      </c>
      <c r="D7" s="83">
        <v>57344</v>
      </c>
      <c r="E7" s="84">
        <v>66605</v>
      </c>
      <c r="F7" s="87" t="s">
        <v>222</v>
      </c>
      <c r="G7" s="88" t="s">
        <v>223</v>
      </c>
      <c r="H7" s="66" t="s">
        <v>110</v>
      </c>
      <c r="I7" s="66" t="s">
        <v>224</v>
      </c>
    </row>
    <row r="8" spans="1:9" ht="42.75">
      <c r="A8" t="s">
        <v>160</v>
      </c>
      <c r="B8" t="s">
        <v>221</v>
      </c>
      <c r="C8" s="82">
        <v>2468</v>
      </c>
      <c r="D8" s="83">
        <v>3232</v>
      </c>
      <c r="E8" s="84">
        <v>4362</v>
      </c>
      <c r="F8" s="87" t="s">
        <v>222</v>
      </c>
      <c r="G8" s="88" t="s">
        <v>223</v>
      </c>
      <c r="H8" s="89" t="s">
        <v>110</v>
      </c>
      <c r="I8" s="66" t="s">
        <v>224</v>
      </c>
    </row>
    <row r="9" spans="1:9" ht="42.75">
      <c r="A9" t="s">
        <v>226</v>
      </c>
      <c r="B9" t="s">
        <v>221</v>
      </c>
      <c r="C9" s="82">
        <v>30813</v>
      </c>
      <c r="D9" s="83">
        <v>34250</v>
      </c>
      <c r="E9" s="84">
        <v>36592</v>
      </c>
      <c r="F9" s="87" t="s">
        <v>222</v>
      </c>
      <c r="G9" s="88" t="s">
        <v>223</v>
      </c>
      <c r="H9" s="66" t="s">
        <v>110</v>
      </c>
      <c r="I9" s="66" t="s">
        <v>224</v>
      </c>
    </row>
    <row r="10" spans="1:9" ht="42.75">
      <c r="A10" t="s">
        <v>227</v>
      </c>
      <c r="B10" t="s">
        <v>221</v>
      </c>
      <c r="C10" s="82">
        <v>18183</v>
      </c>
      <c r="D10" s="83">
        <v>19862</v>
      </c>
      <c r="E10" s="84">
        <v>25651</v>
      </c>
      <c r="F10" s="87" t="s">
        <v>222</v>
      </c>
      <c r="G10" s="88" t="s">
        <v>223</v>
      </c>
      <c r="H10" s="66" t="s">
        <v>110</v>
      </c>
      <c r="I10" s="66" t="s">
        <v>224</v>
      </c>
    </row>
    <row r="11" spans="1:9" ht="42.75">
      <c r="A11" t="s">
        <v>228</v>
      </c>
      <c r="B11" t="s">
        <v>221</v>
      </c>
      <c r="C11" s="82">
        <v>3571</v>
      </c>
      <c r="D11" s="83">
        <v>3622</v>
      </c>
      <c r="E11" s="84">
        <v>5282</v>
      </c>
      <c r="F11" s="87" t="s">
        <v>222</v>
      </c>
      <c r="G11" s="88" t="s">
        <v>223</v>
      </c>
      <c r="H11" s="66" t="s">
        <v>110</v>
      </c>
      <c r="I11" s="66" t="s">
        <v>224</v>
      </c>
    </row>
    <row r="12" spans="1:9" ht="42.75">
      <c r="A12" t="s">
        <v>229</v>
      </c>
      <c r="B12" t="s">
        <v>221</v>
      </c>
      <c r="C12" s="82">
        <v>14612</v>
      </c>
      <c r="D12" s="83">
        <v>16240</v>
      </c>
      <c r="E12" s="84">
        <v>20369</v>
      </c>
      <c r="F12" s="87" t="s">
        <v>222</v>
      </c>
      <c r="G12" s="88" t="s">
        <v>223</v>
      </c>
      <c r="H12" s="66" t="s">
        <v>110</v>
      </c>
      <c r="I12" s="66" t="s">
        <v>224</v>
      </c>
    </row>
    <row r="13" spans="1:9" ht="42.75">
      <c r="A13" t="s">
        <v>230</v>
      </c>
      <c r="B13" t="s">
        <v>221</v>
      </c>
      <c r="C13" s="90">
        <v>14369</v>
      </c>
      <c r="D13" s="83">
        <v>15908</v>
      </c>
      <c r="E13" s="84">
        <v>19868</v>
      </c>
      <c r="F13" s="87" t="s">
        <v>222</v>
      </c>
      <c r="G13" s="88" t="s">
        <v>223</v>
      </c>
      <c r="H13" s="66" t="s">
        <v>110</v>
      </c>
      <c r="I13" s="66" t="s">
        <v>224</v>
      </c>
    </row>
    <row r="14" spans="1:9" ht="42.75">
      <c r="A14" t="s">
        <v>231</v>
      </c>
      <c r="B14" t="s">
        <v>232</v>
      </c>
      <c r="C14" s="91">
        <v>10.32</v>
      </c>
      <c r="D14" s="92">
        <v>11.25</v>
      </c>
      <c r="E14" s="93">
        <v>14.07</v>
      </c>
      <c r="F14" s="87" t="s">
        <v>222</v>
      </c>
      <c r="G14" s="88" t="s">
        <v>233</v>
      </c>
      <c r="H14" s="66" t="s">
        <v>110</v>
      </c>
      <c r="I14" s="66" t="s">
        <v>234</v>
      </c>
    </row>
    <row r="15" spans="1:9" ht="42.75">
      <c r="A15" t="s">
        <v>183</v>
      </c>
      <c r="B15" t="s">
        <v>235</v>
      </c>
      <c r="C15" s="94">
        <v>0.14299999999999999</v>
      </c>
      <c r="D15" s="95">
        <v>0.14399999999999999</v>
      </c>
      <c r="E15" s="96">
        <v>0.16300000000000001</v>
      </c>
      <c r="F15" s="87" t="s">
        <v>222</v>
      </c>
      <c r="G15" s="88" t="s">
        <v>233</v>
      </c>
      <c r="H15" s="66" t="s">
        <v>110</v>
      </c>
      <c r="I15" s="66" t="s">
        <v>236</v>
      </c>
    </row>
    <row r="16" spans="1:9" ht="42.75">
      <c r="A16" t="s">
        <v>186</v>
      </c>
      <c r="B16" t="s">
        <v>235</v>
      </c>
      <c r="C16" s="94">
        <v>0.59899999999999998</v>
      </c>
      <c r="D16" s="95">
        <v>0.59699999999999998</v>
      </c>
      <c r="E16" s="96">
        <v>0.54900000000000004</v>
      </c>
      <c r="F16" s="87" t="s">
        <v>222</v>
      </c>
      <c r="G16" s="88" t="s">
        <v>233</v>
      </c>
      <c r="H16" s="66" t="s">
        <v>110</v>
      </c>
      <c r="I16" s="66" t="s">
        <v>236</v>
      </c>
    </row>
    <row r="17" spans="1:9" ht="42.75">
      <c r="A17" t="s">
        <v>189</v>
      </c>
      <c r="B17" t="s">
        <v>235</v>
      </c>
      <c r="C17" s="94">
        <v>-0.107</v>
      </c>
      <c r="D17" s="95">
        <v>2E-3</v>
      </c>
      <c r="E17" s="96">
        <v>9.2999999999999999E-2</v>
      </c>
      <c r="F17" s="87" t="s">
        <v>222</v>
      </c>
      <c r="G17" s="88" t="s">
        <v>233</v>
      </c>
      <c r="H17" s="66" t="s">
        <v>110</v>
      </c>
      <c r="I17" s="66" t="s">
        <v>236</v>
      </c>
    </row>
    <row r="18" spans="1:9" ht="28.5">
      <c r="A18" t="s">
        <v>237</v>
      </c>
      <c r="B18" t="s">
        <v>221</v>
      </c>
      <c r="C18" s="90">
        <v>20651</v>
      </c>
      <c r="D18" s="90">
        <v>23094</v>
      </c>
      <c r="E18" s="97">
        <v>30013</v>
      </c>
      <c r="F18" s="87" t="s">
        <v>238</v>
      </c>
      <c r="G18" s="88" t="s">
        <v>239</v>
      </c>
      <c r="H18" s="66" t="s">
        <v>110</v>
      </c>
      <c r="I18" s="66" t="s">
        <v>240</v>
      </c>
    </row>
    <row r="19" spans="1:9" ht="28.5">
      <c r="A19" t="s">
        <v>241</v>
      </c>
      <c r="B19" t="s">
        <v>235</v>
      </c>
      <c r="C19" s="98">
        <v>0.19639223450475718</v>
      </c>
      <c r="D19" s="99">
        <v>0.1823582720773336</v>
      </c>
      <c r="E19" s="100">
        <v>0.20591789793770224</v>
      </c>
      <c r="F19" s="101" t="s">
        <v>238</v>
      </c>
      <c r="G19" s="102" t="s">
        <v>239</v>
      </c>
      <c r="H19" s="66" t="s">
        <v>110</v>
      </c>
      <c r="I19" s="66" t="s">
        <v>242</v>
      </c>
    </row>
  </sheetData>
  <mergeCells count="1">
    <mergeCell ref="A1:I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9"/>
  <sheetViews>
    <sheetView topLeftCell="A15" workbookViewId="0"/>
  </sheetViews>
  <sheetFormatPr defaultRowHeight="14.25"/>
  <cols>
    <col min="1" max="1" width="40" customWidth="1"/>
    <col min="2" max="2" width="18" customWidth="1"/>
    <col min="3" max="12" width="12" customWidth="1"/>
    <col min="13" max="13" width="16" customWidth="1"/>
    <col min="14" max="14" width="20" customWidth="1"/>
    <col min="15" max="15" width="30" customWidth="1"/>
  </cols>
  <sheetData>
    <row r="1" spans="1:15" ht="30" customHeight="1">
      <c r="A1" s="145" t="s">
        <v>243</v>
      </c>
      <c r="B1" s="145"/>
      <c r="C1" s="145"/>
      <c r="D1" s="145"/>
      <c r="E1" s="145"/>
      <c r="F1" s="145"/>
      <c r="G1" s="145"/>
      <c r="H1" s="145"/>
      <c r="I1" s="145"/>
      <c r="J1" s="145"/>
      <c r="K1" s="145"/>
      <c r="L1" s="145"/>
      <c r="M1" s="145"/>
      <c r="N1" s="145"/>
      <c r="O1" s="145"/>
    </row>
    <row r="2" spans="1:15" ht="30" customHeight="1">
      <c r="A2" s="145"/>
      <c r="B2" s="145"/>
      <c r="C2" s="145"/>
      <c r="D2" s="145"/>
      <c r="E2" s="145"/>
      <c r="F2" s="145"/>
      <c r="G2" s="145"/>
      <c r="H2" s="145"/>
      <c r="I2" s="145"/>
      <c r="J2" s="145"/>
      <c r="K2" s="145"/>
      <c r="L2" s="145"/>
      <c r="M2" s="145"/>
      <c r="N2" s="145"/>
      <c r="O2" s="145"/>
    </row>
    <row r="4" spans="1:15" ht="15">
      <c r="A4" s="59" t="s">
        <v>217</v>
      </c>
      <c r="B4" s="60" t="s">
        <v>218</v>
      </c>
      <c r="C4" s="60" t="s">
        <v>244</v>
      </c>
      <c r="D4" s="60" t="s">
        <v>245</v>
      </c>
      <c r="E4" s="60" t="s">
        <v>246</v>
      </c>
      <c r="F4" s="60" t="s">
        <v>247</v>
      </c>
      <c r="G4" s="60" t="s">
        <v>248</v>
      </c>
      <c r="H4" s="60" t="s">
        <v>249</v>
      </c>
      <c r="I4" s="60" t="s">
        <v>250</v>
      </c>
      <c r="J4" s="60" t="s">
        <v>251</v>
      </c>
      <c r="K4" s="60" t="s">
        <v>252</v>
      </c>
      <c r="L4" s="60" t="s">
        <v>123</v>
      </c>
      <c r="M4" s="60" t="s">
        <v>94</v>
      </c>
      <c r="N4" s="60" t="s">
        <v>100</v>
      </c>
      <c r="O4" s="61" t="s">
        <v>102</v>
      </c>
    </row>
    <row r="5" spans="1:15" ht="42.75">
      <c r="A5" t="s">
        <v>150</v>
      </c>
      <c r="B5" t="s">
        <v>221</v>
      </c>
      <c r="C5" s="82">
        <v>6332</v>
      </c>
      <c r="D5" s="83">
        <v>6623</v>
      </c>
      <c r="E5" s="83">
        <v>7327</v>
      </c>
      <c r="F5" s="83">
        <v>7671</v>
      </c>
      <c r="G5" s="83">
        <v>7948</v>
      </c>
      <c r="H5" s="83">
        <v>8056</v>
      </c>
      <c r="I5" s="83">
        <v>8351</v>
      </c>
      <c r="J5" s="83">
        <v>8645</v>
      </c>
      <c r="K5" s="83">
        <v>8585</v>
      </c>
      <c r="L5" s="84">
        <v>8506</v>
      </c>
      <c r="M5" s="85" t="s">
        <v>253</v>
      </c>
      <c r="N5" s="86" t="s">
        <v>254</v>
      </c>
      <c r="O5" s="66" t="s">
        <v>255</v>
      </c>
    </row>
    <row r="6" spans="1:15" ht="42.75">
      <c r="A6" t="s">
        <v>155</v>
      </c>
      <c r="B6" t="s">
        <v>221</v>
      </c>
      <c r="C6" s="90">
        <v>7153</v>
      </c>
      <c r="D6" s="103">
        <v>7531</v>
      </c>
      <c r="E6" s="103">
        <v>7304</v>
      </c>
      <c r="F6" s="103">
        <v>7403</v>
      </c>
      <c r="G6" s="103">
        <v>8791</v>
      </c>
      <c r="H6" s="103">
        <v>7616</v>
      </c>
      <c r="I6" s="103">
        <v>8634</v>
      </c>
      <c r="J6" s="103">
        <v>8564</v>
      </c>
      <c r="K6" s="103">
        <v>9375</v>
      </c>
      <c r="L6" s="104">
        <v>8947</v>
      </c>
      <c r="M6" s="87" t="s">
        <v>253</v>
      </c>
      <c r="N6" s="88" t="s">
        <v>254</v>
      </c>
      <c r="O6" s="66" t="s">
        <v>255</v>
      </c>
    </row>
    <row r="7" spans="1:15" ht="42.75">
      <c r="A7" t="s">
        <v>225</v>
      </c>
      <c r="B7" t="s">
        <v>221</v>
      </c>
      <c r="C7" s="90">
        <v>13485</v>
      </c>
      <c r="D7" s="103">
        <v>14154</v>
      </c>
      <c r="E7" s="103">
        <v>14631</v>
      </c>
      <c r="F7" s="103">
        <v>15074</v>
      </c>
      <c r="G7" s="103">
        <v>16739</v>
      </c>
      <c r="H7" s="103">
        <v>15672</v>
      </c>
      <c r="I7" s="103">
        <v>16985</v>
      </c>
      <c r="J7" s="103">
        <v>17209</v>
      </c>
      <c r="K7" s="103">
        <v>17960</v>
      </c>
      <c r="L7" s="104">
        <v>17453</v>
      </c>
      <c r="M7" s="87" t="s">
        <v>253</v>
      </c>
      <c r="N7" s="88" t="s">
        <v>254</v>
      </c>
      <c r="O7" s="66" t="s">
        <v>255</v>
      </c>
    </row>
    <row r="8" spans="1:15" ht="42.75">
      <c r="A8" t="s">
        <v>160</v>
      </c>
      <c r="B8" t="s">
        <v>221</v>
      </c>
      <c r="C8" s="90">
        <v>813</v>
      </c>
      <c r="D8" s="103">
        <v>920</v>
      </c>
      <c r="E8" s="103">
        <v>659</v>
      </c>
      <c r="F8" s="103">
        <v>840</v>
      </c>
      <c r="G8" s="103">
        <v>1050</v>
      </c>
      <c r="H8" s="103">
        <v>1424</v>
      </c>
      <c r="I8" s="103">
        <v>881</v>
      </c>
      <c r="J8" s="103">
        <v>1007</v>
      </c>
      <c r="K8" s="103">
        <v>1090</v>
      </c>
      <c r="L8" s="104">
        <v>912</v>
      </c>
      <c r="M8" s="87" t="s">
        <v>253</v>
      </c>
      <c r="N8" s="88" t="s">
        <v>254</v>
      </c>
      <c r="O8" s="66" t="s">
        <v>255</v>
      </c>
    </row>
    <row r="9" spans="1:15" ht="42.75">
      <c r="A9" t="s">
        <v>226</v>
      </c>
      <c r="B9" t="s">
        <v>221</v>
      </c>
      <c r="C9" s="90">
        <v>8324</v>
      </c>
      <c r="D9" s="103">
        <v>8308</v>
      </c>
      <c r="E9" s="103">
        <v>8599</v>
      </c>
      <c r="F9" s="103">
        <v>9019</v>
      </c>
      <c r="G9" s="103">
        <v>9256</v>
      </c>
      <c r="H9" s="103">
        <v>8730</v>
      </c>
      <c r="I9" s="103">
        <v>9232</v>
      </c>
      <c r="J9" s="103">
        <v>9374</v>
      </c>
      <c r="K9" s="103">
        <v>9463</v>
      </c>
      <c r="L9" s="104">
        <v>9437</v>
      </c>
      <c r="M9" s="87" t="s">
        <v>253</v>
      </c>
      <c r="N9" s="88" t="s">
        <v>254</v>
      </c>
      <c r="O9" s="66" t="s">
        <v>255</v>
      </c>
    </row>
    <row r="10" spans="1:15" ht="42.75">
      <c r="A10" t="s">
        <v>227</v>
      </c>
      <c r="B10" t="s">
        <v>221</v>
      </c>
      <c r="C10" s="90">
        <v>4348</v>
      </c>
      <c r="D10" s="103">
        <v>4926</v>
      </c>
      <c r="E10" s="103">
        <v>5373</v>
      </c>
      <c r="F10" s="103">
        <v>5215</v>
      </c>
      <c r="G10" s="103">
        <v>6433</v>
      </c>
      <c r="H10" s="103">
        <v>5518</v>
      </c>
      <c r="I10" s="103">
        <v>6872</v>
      </c>
      <c r="J10" s="103">
        <v>6828</v>
      </c>
      <c r="K10" s="103">
        <v>7407</v>
      </c>
      <c r="L10" s="104">
        <v>7104</v>
      </c>
      <c r="M10" s="87" t="s">
        <v>253</v>
      </c>
      <c r="N10" s="88" t="s">
        <v>254</v>
      </c>
      <c r="O10" s="66" t="s">
        <v>255</v>
      </c>
    </row>
    <row r="11" spans="1:15" ht="42.75">
      <c r="A11" t="s">
        <v>228</v>
      </c>
      <c r="B11" t="s">
        <v>221</v>
      </c>
      <c r="C11" s="90">
        <v>766</v>
      </c>
      <c r="D11" s="103">
        <v>976</v>
      </c>
      <c r="E11" s="103">
        <v>887</v>
      </c>
      <c r="F11" s="103">
        <v>993</v>
      </c>
      <c r="G11" s="103">
        <v>1302</v>
      </c>
      <c r="H11" s="103">
        <v>1128</v>
      </c>
      <c r="I11" s="103">
        <v>1458</v>
      </c>
      <c r="J11" s="103">
        <v>1394</v>
      </c>
      <c r="K11" s="103">
        <v>1622</v>
      </c>
      <c r="L11" s="104">
        <v>1595</v>
      </c>
      <c r="M11" s="87" t="s">
        <v>253</v>
      </c>
      <c r="N11" s="88" t="s">
        <v>254</v>
      </c>
      <c r="O11" s="66" t="s">
        <v>255</v>
      </c>
    </row>
    <row r="12" spans="1:15" ht="42.75">
      <c r="A12" t="s">
        <v>229</v>
      </c>
      <c r="B12" t="s">
        <v>221</v>
      </c>
      <c r="C12" s="90">
        <v>3582</v>
      </c>
      <c r="D12" s="103">
        <v>3950</v>
      </c>
      <c r="E12" s="103">
        <v>4486</v>
      </c>
      <c r="F12" s="103">
        <v>4222</v>
      </c>
      <c r="G12" s="103">
        <v>5131</v>
      </c>
      <c r="H12" s="103">
        <v>4390</v>
      </c>
      <c r="I12" s="103">
        <v>5414</v>
      </c>
      <c r="J12" s="103">
        <v>5434</v>
      </c>
      <c r="K12" s="103">
        <v>5785</v>
      </c>
      <c r="L12" s="104">
        <v>5509</v>
      </c>
      <c r="M12" s="87" t="s">
        <v>253</v>
      </c>
      <c r="N12" s="88" t="s">
        <v>254</v>
      </c>
      <c r="O12" s="66" t="s">
        <v>255</v>
      </c>
    </row>
    <row r="13" spans="1:15" ht="42.75">
      <c r="A13" t="s">
        <v>230</v>
      </c>
      <c r="B13" t="s">
        <v>221</v>
      </c>
      <c r="C13" s="90">
        <v>3522</v>
      </c>
      <c r="D13" s="103">
        <v>3881</v>
      </c>
      <c r="E13" s="103">
        <v>4377</v>
      </c>
      <c r="F13" s="103">
        <v>4128</v>
      </c>
      <c r="G13" s="103">
        <v>5011</v>
      </c>
      <c r="H13" s="103">
        <v>4274</v>
      </c>
      <c r="I13" s="103">
        <v>5290</v>
      </c>
      <c r="J13" s="103">
        <v>5293</v>
      </c>
      <c r="K13" s="103">
        <v>5643</v>
      </c>
      <c r="L13" s="104">
        <v>5372</v>
      </c>
      <c r="M13" s="87" t="s">
        <v>253</v>
      </c>
      <c r="N13" s="88" t="s">
        <v>254</v>
      </c>
      <c r="O13" s="66" t="s">
        <v>255</v>
      </c>
    </row>
    <row r="14" spans="1:15" ht="42.75">
      <c r="A14" t="s">
        <v>231</v>
      </c>
      <c r="B14" t="s">
        <v>232</v>
      </c>
      <c r="C14" s="91">
        <v>2.5</v>
      </c>
      <c r="D14" s="92">
        <v>2.74</v>
      </c>
      <c r="E14" s="92">
        <v>3.09</v>
      </c>
      <c r="F14" s="92">
        <v>2.91</v>
      </c>
      <c r="G14" s="92">
        <v>3.54</v>
      </c>
      <c r="H14" s="92">
        <v>3.02</v>
      </c>
      <c r="I14" s="92">
        <v>3.75</v>
      </c>
      <c r="J14" s="92">
        <v>3.76</v>
      </c>
      <c r="K14" s="92">
        <v>4.03</v>
      </c>
      <c r="L14" s="93">
        <v>3.85</v>
      </c>
      <c r="M14" s="87" t="s">
        <v>253</v>
      </c>
      <c r="N14" s="88" t="s">
        <v>254</v>
      </c>
      <c r="O14" s="66" t="s">
        <v>255</v>
      </c>
    </row>
    <row r="15" spans="1:15" ht="42.75">
      <c r="A15" t="s">
        <v>183</v>
      </c>
      <c r="B15" t="s">
        <v>235</v>
      </c>
      <c r="C15" s="94">
        <v>0.13100000000000001</v>
      </c>
      <c r="D15" s="95">
        <v>0.14499999999999999</v>
      </c>
      <c r="E15" s="95">
        <v>0.155</v>
      </c>
      <c r="F15" s="95">
        <v>0.14299999999999999</v>
      </c>
      <c r="G15" s="95">
        <v>0.16800000000000001</v>
      </c>
      <c r="H15" s="95">
        <v>0.14199999999999999</v>
      </c>
      <c r="I15" s="95">
        <v>0.17299999999999999</v>
      </c>
      <c r="J15" s="95">
        <v>0.16800000000000001</v>
      </c>
      <c r="K15" s="95">
        <v>0.17599999999999999</v>
      </c>
      <c r="L15" s="96">
        <v>0.17199999999999999</v>
      </c>
      <c r="M15" s="87" t="s">
        <v>253</v>
      </c>
      <c r="N15" s="88" t="s">
        <v>254</v>
      </c>
      <c r="O15" s="66" t="s">
        <v>255</v>
      </c>
    </row>
    <row r="16" spans="1:15" ht="42.75">
      <c r="A16" t="s">
        <v>186</v>
      </c>
      <c r="B16" t="s">
        <v>235</v>
      </c>
      <c r="C16" s="94">
        <v>0.61699999999999999</v>
      </c>
      <c r="D16" s="95">
        <v>0.58699999999999997</v>
      </c>
      <c r="E16" s="95">
        <v>0.58799999999999997</v>
      </c>
      <c r="F16" s="95">
        <v>0.59799999999999998</v>
      </c>
      <c r="G16" s="95">
        <v>0.55300000000000005</v>
      </c>
      <c r="H16" s="95">
        <v>0.55700000000000005</v>
      </c>
      <c r="I16" s="95">
        <v>0.54400000000000004</v>
      </c>
      <c r="J16" s="95">
        <v>0.54500000000000004</v>
      </c>
      <c r="K16" s="95">
        <v>0.52700000000000002</v>
      </c>
      <c r="L16" s="96">
        <v>0.54100000000000004</v>
      </c>
      <c r="M16" s="87" t="s">
        <v>253</v>
      </c>
      <c r="N16" s="88" t="s">
        <v>254</v>
      </c>
      <c r="O16" s="66" t="s">
        <v>255</v>
      </c>
    </row>
    <row r="17" spans="1:15" ht="42.75">
      <c r="A17" t="s">
        <v>189</v>
      </c>
      <c r="B17" t="s">
        <v>235</v>
      </c>
      <c r="C17" s="94">
        <v>-8.6999999999999994E-2</v>
      </c>
      <c r="D17" s="95">
        <v>1.4E-2</v>
      </c>
      <c r="E17" s="95">
        <v>0.02</v>
      </c>
      <c r="F17" s="95">
        <v>6.9000000000000006E-2</v>
      </c>
      <c r="G17" s="95">
        <v>0.129</v>
      </c>
      <c r="H17" s="95">
        <v>5.6000000000000001E-2</v>
      </c>
      <c r="I17" s="95">
        <v>8.6999999999999994E-2</v>
      </c>
      <c r="J17" s="95">
        <v>0.10299999999999999</v>
      </c>
      <c r="K17" s="95">
        <v>5.0999999999999997E-2</v>
      </c>
      <c r="L17" s="96">
        <v>3.3000000000000002E-2</v>
      </c>
      <c r="M17" s="87" t="s">
        <v>253</v>
      </c>
      <c r="N17" s="88" t="s">
        <v>254</v>
      </c>
      <c r="O17" s="66" t="s">
        <v>255</v>
      </c>
    </row>
    <row r="18" spans="1:15" ht="42.75">
      <c r="A18" t="s">
        <v>237</v>
      </c>
      <c r="B18" t="s">
        <v>221</v>
      </c>
      <c r="C18" s="90">
        <v>5161</v>
      </c>
      <c r="D18" s="103">
        <v>5846</v>
      </c>
      <c r="E18" s="103">
        <v>6032</v>
      </c>
      <c r="F18" s="103">
        <v>6055</v>
      </c>
      <c r="G18" s="103">
        <v>7483</v>
      </c>
      <c r="H18" s="103">
        <v>6942</v>
      </c>
      <c r="I18" s="103">
        <v>7753</v>
      </c>
      <c r="J18" s="103">
        <v>7835</v>
      </c>
      <c r="K18" s="103">
        <v>8497</v>
      </c>
      <c r="L18" s="104">
        <v>8016</v>
      </c>
      <c r="M18" s="87" t="s">
        <v>253</v>
      </c>
      <c r="N18" s="88" t="s">
        <v>254</v>
      </c>
      <c r="O18" s="66" t="s">
        <v>255</v>
      </c>
    </row>
    <row r="19" spans="1:15" ht="42.75">
      <c r="A19" t="s">
        <v>241</v>
      </c>
      <c r="B19" t="s">
        <v>235</v>
      </c>
      <c r="C19" s="98">
        <v>0.17617295308187672</v>
      </c>
      <c r="D19" s="99">
        <v>0.19813235891189607</v>
      </c>
      <c r="E19" s="99">
        <v>0.16508468267262238</v>
      </c>
      <c r="F19" s="99">
        <v>0.19041227229146693</v>
      </c>
      <c r="G19" s="99">
        <v>0.20239390642002175</v>
      </c>
      <c r="H19" s="99">
        <v>0.20442189198985139</v>
      </c>
      <c r="I19" s="99">
        <v>0.2121653084982538</v>
      </c>
      <c r="J19" s="99">
        <v>0.2041593438781488</v>
      </c>
      <c r="K19" s="99">
        <v>0.21898204401242069</v>
      </c>
      <c r="L19" s="100">
        <v>0.2245213963963964</v>
      </c>
      <c r="M19" s="101" t="s">
        <v>253</v>
      </c>
      <c r="N19" s="102" t="s">
        <v>254</v>
      </c>
      <c r="O19" s="66" t="s">
        <v>255</v>
      </c>
    </row>
  </sheetData>
  <mergeCells count="1">
    <mergeCell ref="A1:O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5"/>
  <sheetViews>
    <sheetView topLeftCell="A8" workbookViewId="0"/>
  </sheetViews>
  <sheetFormatPr defaultRowHeight="14.25"/>
  <cols>
    <col min="1" max="1" width="42" customWidth="1"/>
    <col min="2" max="2" width="18" customWidth="1"/>
    <col min="3" max="7" width="13" customWidth="1"/>
    <col min="8" max="8" width="16" customWidth="1"/>
    <col min="9" max="9" width="20" customWidth="1"/>
    <col min="10" max="10" width="48" customWidth="1"/>
    <col min="11" max="11" width="28" customWidth="1"/>
  </cols>
  <sheetData>
    <row r="1" spans="1:11" ht="30" customHeight="1">
      <c r="A1" s="145" t="s">
        <v>256</v>
      </c>
      <c r="B1" s="145"/>
      <c r="C1" s="145"/>
      <c r="D1" s="145"/>
      <c r="E1" s="145"/>
      <c r="F1" s="145"/>
      <c r="G1" s="145"/>
      <c r="H1" s="145"/>
      <c r="I1" s="145"/>
      <c r="J1" s="145"/>
      <c r="K1" s="145"/>
    </row>
    <row r="2" spans="1:11" ht="30" customHeight="1">
      <c r="A2" s="145"/>
      <c r="B2" s="145"/>
      <c r="C2" s="145"/>
      <c r="D2" s="145"/>
      <c r="E2" s="145"/>
      <c r="F2" s="145"/>
      <c r="G2" s="145"/>
      <c r="H2" s="145"/>
      <c r="I2" s="145"/>
      <c r="J2" s="145"/>
      <c r="K2" s="145"/>
    </row>
    <row r="4" spans="1:11" ht="15">
      <c r="A4" s="59" t="s">
        <v>217</v>
      </c>
      <c r="B4" s="60" t="s">
        <v>218</v>
      </c>
      <c r="C4" s="60" t="s">
        <v>219</v>
      </c>
      <c r="D4" s="60" t="s">
        <v>220</v>
      </c>
      <c r="E4" s="60" t="s">
        <v>105</v>
      </c>
      <c r="F4" s="60" t="s">
        <v>252</v>
      </c>
      <c r="G4" s="60" t="s">
        <v>123</v>
      </c>
      <c r="H4" s="60" t="s">
        <v>94</v>
      </c>
      <c r="I4" s="60" t="s">
        <v>100</v>
      </c>
      <c r="J4" s="60" t="s">
        <v>101</v>
      </c>
      <c r="K4" s="61" t="s">
        <v>102</v>
      </c>
    </row>
    <row r="5" spans="1:11" ht="42.75">
      <c r="A5" t="s">
        <v>257</v>
      </c>
      <c r="B5" t="s">
        <v>221</v>
      </c>
      <c r="C5" s="82">
        <v>2006531</v>
      </c>
      <c r="D5" s="83">
        <v>2171582</v>
      </c>
      <c r="E5" s="83">
        <v>2325006</v>
      </c>
      <c r="F5" s="83">
        <v>2342393</v>
      </c>
      <c r="G5" s="84">
        <v>2396080</v>
      </c>
      <c r="H5" s="85" t="s">
        <v>253</v>
      </c>
      <c r="I5" s="86" t="s">
        <v>258</v>
      </c>
      <c r="J5" s="66" t="s">
        <v>110</v>
      </c>
      <c r="K5" s="66" t="s">
        <v>259</v>
      </c>
    </row>
    <row r="6" spans="1:11" ht="42.75">
      <c r="A6" t="s">
        <v>260</v>
      </c>
      <c r="B6" t="s">
        <v>221</v>
      </c>
      <c r="C6" s="90">
        <v>61989</v>
      </c>
      <c r="D6" s="103">
        <v>56723</v>
      </c>
      <c r="E6" s="103">
        <v>37024</v>
      </c>
      <c r="F6" s="103">
        <v>46226</v>
      </c>
      <c r="G6" s="104">
        <v>59347</v>
      </c>
      <c r="H6" s="87" t="s">
        <v>253</v>
      </c>
      <c r="I6" s="88" t="s">
        <v>258</v>
      </c>
      <c r="J6" s="66" t="s">
        <v>110</v>
      </c>
      <c r="K6" s="66" t="s">
        <v>259</v>
      </c>
    </row>
    <row r="7" spans="1:11" ht="42.75">
      <c r="A7" t="s">
        <v>261</v>
      </c>
      <c r="B7" t="s">
        <v>221</v>
      </c>
      <c r="C7" s="90">
        <v>71086</v>
      </c>
      <c r="D7" s="103">
        <v>66020</v>
      </c>
      <c r="E7" s="103">
        <v>50364</v>
      </c>
      <c r="F7" s="103">
        <v>53073</v>
      </c>
      <c r="G7" s="104">
        <v>34146</v>
      </c>
      <c r="H7" s="87" t="s">
        <v>253</v>
      </c>
      <c r="I7" s="88" t="s">
        <v>258</v>
      </c>
      <c r="J7" s="66" t="s">
        <v>110</v>
      </c>
      <c r="K7" s="66" t="s">
        <v>259</v>
      </c>
    </row>
    <row r="8" spans="1:11" ht="42.75">
      <c r="A8" t="s">
        <v>262</v>
      </c>
      <c r="B8" t="s">
        <v>221</v>
      </c>
      <c r="C8" s="90">
        <v>409730</v>
      </c>
      <c r="D8" s="103">
        <v>439918</v>
      </c>
      <c r="E8" s="103">
        <v>561788</v>
      </c>
      <c r="F8" s="103">
        <v>588966</v>
      </c>
      <c r="G8" s="104">
        <v>612364</v>
      </c>
      <c r="H8" s="87" t="s">
        <v>253</v>
      </c>
      <c r="I8" s="88" t="s">
        <v>258</v>
      </c>
      <c r="J8" s="66" t="s">
        <v>110</v>
      </c>
      <c r="K8" s="66" t="s">
        <v>259</v>
      </c>
    </row>
    <row r="9" spans="1:11" ht="42.75">
      <c r="A9" t="s">
        <v>263</v>
      </c>
      <c r="B9" t="s">
        <v>221</v>
      </c>
      <c r="C9" s="90">
        <v>857777</v>
      </c>
      <c r="D9" s="103">
        <v>987417</v>
      </c>
      <c r="E9" s="103">
        <v>1049515</v>
      </c>
      <c r="F9" s="103">
        <v>1062282</v>
      </c>
      <c r="G9" s="104">
        <v>1085470</v>
      </c>
      <c r="H9" s="87" t="s">
        <v>253</v>
      </c>
      <c r="I9" s="88" t="s">
        <v>258</v>
      </c>
      <c r="J9" s="66" t="s">
        <v>110</v>
      </c>
      <c r="K9" s="66" t="s">
        <v>259</v>
      </c>
    </row>
    <row r="10" spans="1:11" ht="42.75">
      <c r="A10" t="s">
        <v>264</v>
      </c>
      <c r="B10" t="s">
        <v>221</v>
      </c>
      <c r="C10" s="90">
        <v>-5004</v>
      </c>
      <c r="D10" s="103">
        <v>-6037</v>
      </c>
      <c r="E10" s="103">
        <v>-7093</v>
      </c>
      <c r="F10" s="103">
        <v>-7401</v>
      </c>
      <c r="G10" s="104">
        <v>-7521</v>
      </c>
      <c r="H10" s="87" t="s">
        <v>253</v>
      </c>
      <c r="I10" s="88" t="s">
        <v>258</v>
      </c>
      <c r="J10" s="66" t="s">
        <v>110</v>
      </c>
      <c r="K10" s="66" t="s">
        <v>259</v>
      </c>
    </row>
    <row r="11" spans="1:11" ht="42.75">
      <c r="A11" t="s">
        <v>265</v>
      </c>
      <c r="B11" t="s">
        <v>221</v>
      </c>
      <c r="C11" s="90">
        <v>852773</v>
      </c>
      <c r="D11" s="103">
        <v>981380</v>
      </c>
      <c r="E11" s="103">
        <v>1042422</v>
      </c>
      <c r="F11" s="103">
        <v>1054881</v>
      </c>
      <c r="G11" s="104">
        <v>1077949</v>
      </c>
      <c r="H11" s="87" t="s">
        <v>253</v>
      </c>
      <c r="I11" s="88" t="s">
        <v>258</v>
      </c>
      <c r="J11" s="66" t="s">
        <v>110</v>
      </c>
      <c r="K11" s="66" t="s">
        <v>259</v>
      </c>
    </row>
    <row r="12" spans="1:11" ht="42.75">
      <c r="A12" t="s">
        <v>266</v>
      </c>
      <c r="B12" t="s">
        <v>221</v>
      </c>
      <c r="C12" s="90">
        <v>434501</v>
      </c>
      <c r="D12" s="103">
        <v>477544</v>
      </c>
      <c r="E12" s="103">
        <v>493413</v>
      </c>
      <c r="F12" s="103">
        <v>496529</v>
      </c>
      <c r="G12" s="104">
        <v>500879</v>
      </c>
      <c r="H12" s="87" t="s">
        <v>253</v>
      </c>
      <c r="I12" s="88" t="s">
        <v>258</v>
      </c>
      <c r="J12" s="66" t="s">
        <v>110</v>
      </c>
      <c r="K12" s="66" t="s">
        <v>259</v>
      </c>
    </row>
    <row r="13" spans="1:11" ht="42.75">
      <c r="A13" t="s">
        <v>267</v>
      </c>
      <c r="B13" t="s">
        <v>221</v>
      </c>
      <c r="C13" s="90">
        <v>98734</v>
      </c>
      <c r="D13" s="103">
        <v>108338</v>
      </c>
      <c r="E13" s="103">
        <v>115345</v>
      </c>
      <c r="F13" s="103">
        <v>115489</v>
      </c>
      <c r="G13" s="104">
        <v>117720</v>
      </c>
      <c r="H13" s="87" t="s">
        <v>253</v>
      </c>
      <c r="I13" s="88" t="s">
        <v>258</v>
      </c>
      <c r="J13" s="66" t="s">
        <v>110</v>
      </c>
      <c r="K13" s="66" t="s">
        <v>259</v>
      </c>
    </row>
    <row r="14" spans="1:11" ht="42.75">
      <c r="A14" t="s">
        <v>268</v>
      </c>
      <c r="B14" t="s">
        <v>221</v>
      </c>
      <c r="C14" s="90">
        <v>23035</v>
      </c>
      <c r="D14" s="103">
        <v>25565</v>
      </c>
      <c r="E14" s="103">
        <v>26789</v>
      </c>
      <c r="F14" s="103">
        <v>26489</v>
      </c>
      <c r="G14" s="104">
        <v>27702</v>
      </c>
      <c r="H14" s="87" t="s">
        <v>253</v>
      </c>
      <c r="I14" s="88" t="s">
        <v>258</v>
      </c>
      <c r="J14" s="66" t="s">
        <v>110</v>
      </c>
      <c r="K14" s="66" t="s">
        <v>259</v>
      </c>
    </row>
    <row r="15" spans="1:11" ht="42.75">
      <c r="A15" t="s">
        <v>269</v>
      </c>
      <c r="B15" t="s">
        <v>221</v>
      </c>
      <c r="C15" s="90">
        <v>309571</v>
      </c>
      <c r="D15" s="103">
        <v>360474</v>
      </c>
      <c r="E15" s="103">
        <v>397190</v>
      </c>
      <c r="F15" s="103">
        <v>406864</v>
      </c>
      <c r="G15" s="104">
        <v>422154</v>
      </c>
      <c r="H15" s="87" t="s">
        <v>253</v>
      </c>
      <c r="I15" s="88" t="s">
        <v>258</v>
      </c>
      <c r="J15" s="66" t="s">
        <v>110</v>
      </c>
      <c r="K15" s="66" t="s">
        <v>259</v>
      </c>
    </row>
    <row r="16" spans="1:11" ht="42.75">
      <c r="A16" t="s">
        <v>270</v>
      </c>
      <c r="B16" t="s">
        <v>221</v>
      </c>
      <c r="C16" s="90">
        <v>81371</v>
      </c>
      <c r="D16" s="103">
        <v>92190</v>
      </c>
      <c r="E16" s="103">
        <v>112893</v>
      </c>
      <c r="F16" s="103">
        <v>115296</v>
      </c>
      <c r="G16" s="104">
        <v>111841</v>
      </c>
      <c r="H16" s="87" t="s">
        <v>253</v>
      </c>
      <c r="I16" s="88" t="s">
        <v>258</v>
      </c>
      <c r="J16" s="66" t="s">
        <v>110</v>
      </c>
      <c r="K16" s="66" t="s">
        <v>259</v>
      </c>
    </row>
    <row r="17" spans="1:11" ht="42.75">
      <c r="A17" t="s">
        <v>271</v>
      </c>
      <c r="B17" t="s">
        <v>221</v>
      </c>
      <c r="C17" s="90">
        <v>1231687</v>
      </c>
      <c r="D17" s="103">
        <v>1409531</v>
      </c>
      <c r="E17" s="103">
        <v>1515616</v>
      </c>
      <c r="F17" s="103">
        <v>1542216</v>
      </c>
      <c r="G17" s="104">
        <v>1581546</v>
      </c>
      <c r="H17" s="87" t="s">
        <v>253</v>
      </c>
      <c r="I17" s="88" t="s">
        <v>258</v>
      </c>
      <c r="J17" s="66" t="s">
        <v>110</v>
      </c>
      <c r="K17" s="66" t="s">
        <v>259</v>
      </c>
    </row>
    <row r="18" spans="1:11" ht="42.75">
      <c r="A18" t="s">
        <v>272</v>
      </c>
      <c r="B18" t="s">
        <v>221</v>
      </c>
      <c r="C18" s="90">
        <v>441946</v>
      </c>
      <c r="D18" s="103">
        <v>522139</v>
      </c>
      <c r="E18" s="103">
        <v>529740</v>
      </c>
      <c r="F18" s="103">
        <v>530313</v>
      </c>
      <c r="G18" s="104">
        <v>532736</v>
      </c>
      <c r="H18" s="87" t="s">
        <v>253</v>
      </c>
      <c r="I18" s="88" t="s">
        <v>258</v>
      </c>
      <c r="J18" s="66" t="s">
        <v>110</v>
      </c>
      <c r="K18" s="66" t="s">
        <v>259</v>
      </c>
    </row>
    <row r="19" spans="1:11" ht="42.75">
      <c r="A19" t="s">
        <v>273</v>
      </c>
      <c r="B19" t="s">
        <v>221</v>
      </c>
      <c r="C19" s="90">
        <v>745075</v>
      </c>
      <c r="D19" s="103">
        <v>839670</v>
      </c>
      <c r="E19" s="103">
        <v>946314</v>
      </c>
      <c r="F19" s="103">
        <v>949378</v>
      </c>
      <c r="G19" s="104">
        <v>984990</v>
      </c>
      <c r="H19" s="87" t="s">
        <v>253</v>
      </c>
      <c r="I19" s="88" t="s">
        <v>258</v>
      </c>
      <c r="J19" s="66" t="s">
        <v>110</v>
      </c>
      <c r="K19" s="66" t="s">
        <v>259</v>
      </c>
    </row>
    <row r="20" spans="1:11" ht="42.75">
      <c r="A20" t="s">
        <v>274</v>
      </c>
      <c r="B20" t="s">
        <v>221</v>
      </c>
      <c r="C20" s="105">
        <v>44666</v>
      </c>
      <c r="D20" s="106">
        <v>47722</v>
      </c>
      <c r="E20" s="106">
        <v>39562</v>
      </c>
      <c r="F20" s="106">
        <v>62525</v>
      </c>
      <c r="G20" s="107">
        <v>63820</v>
      </c>
      <c r="H20" s="101" t="s">
        <v>253</v>
      </c>
      <c r="I20" s="102" t="s">
        <v>258</v>
      </c>
      <c r="J20" s="66" t="s">
        <v>110</v>
      </c>
      <c r="K20" s="66" t="s">
        <v>259</v>
      </c>
    </row>
    <row r="21" spans="1:11" ht="42.75">
      <c r="A21" t="s">
        <v>275</v>
      </c>
      <c r="B21" t="s">
        <v>221</v>
      </c>
      <c r="C21" s="90">
        <v>96022</v>
      </c>
      <c r="D21" s="103">
        <v>94712</v>
      </c>
      <c r="E21" s="103">
        <v>108591</v>
      </c>
      <c r="F21" s="103">
        <v>117389</v>
      </c>
      <c r="G21" s="104">
        <v>108851</v>
      </c>
      <c r="H21" s="66" t="s">
        <v>253</v>
      </c>
      <c r="I21" s="66" t="s">
        <v>258</v>
      </c>
      <c r="J21" s="66" t="s">
        <v>110</v>
      </c>
      <c r="K21" s="66" t="s">
        <v>259</v>
      </c>
    </row>
    <row r="22" spans="1:11" ht="42.75">
      <c r="A22" t="s">
        <v>276</v>
      </c>
      <c r="B22" t="s">
        <v>221</v>
      </c>
      <c r="C22" s="90">
        <v>11386</v>
      </c>
      <c r="D22" s="103">
        <v>13546</v>
      </c>
      <c r="E22" s="103">
        <v>13961</v>
      </c>
      <c r="F22" s="103">
        <v>11875</v>
      </c>
      <c r="G22" s="104">
        <v>13498</v>
      </c>
      <c r="H22" s="66" t="s">
        <v>253</v>
      </c>
      <c r="I22" s="66" t="s">
        <v>258</v>
      </c>
      <c r="J22" s="66" t="s">
        <v>110</v>
      </c>
      <c r="K22" s="66" t="s">
        <v>259</v>
      </c>
    </row>
    <row r="23" spans="1:11" ht="42.75">
      <c r="A23" t="s">
        <v>277</v>
      </c>
      <c r="B23" t="s">
        <v>221</v>
      </c>
      <c r="C23" s="90">
        <v>107734</v>
      </c>
      <c r="D23" s="103">
        <v>118058</v>
      </c>
      <c r="E23" s="103">
        <v>127417</v>
      </c>
      <c r="F23" s="103">
        <v>128670</v>
      </c>
      <c r="G23" s="104">
        <v>129579</v>
      </c>
      <c r="H23" s="66" t="s">
        <v>253</v>
      </c>
      <c r="I23" s="66" t="s">
        <v>258</v>
      </c>
      <c r="J23" s="66" t="s">
        <v>110</v>
      </c>
      <c r="K23" s="66" t="s">
        <v>259</v>
      </c>
    </row>
    <row r="24" spans="1:11" ht="42.75">
      <c r="A24" t="s">
        <v>278</v>
      </c>
      <c r="B24" t="s">
        <v>221</v>
      </c>
      <c r="C24" s="90">
        <v>115147</v>
      </c>
      <c r="D24" s="103">
        <v>127192</v>
      </c>
      <c r="E24" s="103">
        <v>139151</v>
      </c>
      <c r="F24" s="103">
        <v>139858</v>
      </c>
      <c r="G24" s="104">
        <v>140773</v>
      </c>
      <c r="H24" s="66" t="s">
        <v>253</v>
      </c>
      <c r="I24" s="66" t="s">
        <v>258</v>
      </c>
      <c r="J24" s="66" t="s">
        <v>110</v>
      </c>
      <c r="K24" s="66" t="s">
        <v>259</v>
      </c>
    </row>
    <row r="25" spans="1:11" ht="42.75">
      <c r="A25" t="s">
        <v>279</v>
      </c>
      <c r="B25" t="s">
        <v>221</v>
      </c>
      <c r="C25" s="105">
        <v>879522</v>
      </c>
      <c r="D25" s="106">
        <v>987452</v>
      </c>
      <c r="E25" s="106">
        <v>1049534</v>
      </c>
      <c r="F25" s="106">
        <v>1062298</v>
      </c>
      <c r="G25" s="107">
        <v>1085510</v>
      </c>
      <c r="H25" s="66" t="s">
        <v>253</v>
      </c>
      <c r="I25" s="66" t="s">
        <v>258</v>
      </c>
      <c r="J25" s="66" t="s">
        <v>110</v>
      </c>
      <c r="K25" s="66" t="s">
        <v>259</v>
      </c>
    </row>
  </sheetData>
  <mergeCells count="1">
    <mergeCell ref="A1: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7"/>
  <sheetViews>
    <sheetView topLeftCell="A13" workbookViewId="0"/>
  </sheetViews>
  <sheetFormatPr defaultRowHeight="14.25"/>
  <cols>
    <col min="1" max="1" width="42" customWidth="1"/>
    <col min="2" max="2" width="18" customWidth="1"/>
    <col min="3" max="7" width="13" customWidth="1"/>
    <col min="8" max="8" width="16" customWidth="1"/>
    <col min="9" max="9" width="20" customWidth="1"/>
    <col min="10" max="10" width="48" customWidth="1"/>
    <col min="11" max="11" width="28" customWidth="1"/>
  </cols>
  <sheetData>
    <row r="1" spans="1:11" ht="30" customHeight="1">
      <c r="A1" s="145" t="s">
        <v>280</v>
      </c>
      <c r="B1" s="145"/>
      <c r="C1" s="145"/>
      <c r="D1" s="145"/>
      <c r="E1" s="145"/>
      <c r="F1" s="145"/>
      <c r="G1" s="145"/>
      <c r="H1" s="145"/>
      <c r="I1" s="145"/>
      <c r="J1" s="145"/>
      <c r="K1" s="145"/>
    </row>
    <row r="2" spans="1:11" ht="30" customHeight="1">
      <c r="A2" s="145"/>
      <c r="B2" s="145"/>
      <c r="C2" s="145"/>
      <c r="D2" s="145"/>
      <c r="E2" s="145"/>
      <c r="F2" s="145"/>
      <c r="G2" s="145"/>
      <c r="H2" s="145"/>
      <c r="I2" s="145"/>
      <c r="J2" s="145"/>
      <c r="K2" s="145"/>
    </row>
    <row r="4" spans="1:11" ht="15">
      <c r="A4" s="59" t="s">
        <v>217</v>
      </c>
      <c r="B4" s="60" t="s">
        <v>218</v>
      </c>
      <c r="C4" s="60" t="s">
        <v>219</v>
      </c>
      <c r="D4" s="60" t="s">
        <v>220</v>
      </c>
      <c r="E4" s="60" t="s">
        <v>105</v>
      </c>
      <c r="F4" s="60" t="s">
        <v>252</v>
      </c>
      <c r="G4" s="60" t="s">
        <v>123</v>
      </c>
      <c r="H4" s="60" t="s">
        <v>94</v>
      </c>
      <c r="I4" s="60" t="s">
        <v>100</v>
      </c>
      <c r="J4" s="60" t="s">
        <v>101</v>
      </c>
      <c r="K4" s="61" t="s">
        <v>102</v>
      </c>
    </row>
    <row r="5" spans="1:11" ht="42.75">
      <c r="A5" t="s">
        <v>281</v>
      </c>
      <c r="B5" t="s">
        <v>221</v>
      </c>
      <c r="C5" s="82">
        <v>2468</v>
      </c>
      <c r="D5" s="83">
        <v>3232</v>
      </c>
      <c r="E5" s="83">
        <v>4362</v>
      </c>
      <c r="F5" s="83">
        <v>1090</v>
      </c>
      <c r="G5" s="84">
        <v>912</v>
      </c>
      <c r="H5" s="85" t="s">
        <v>253</v>
      </c>
      <c r="I5" s="86" t="s">
        <v>282</v>
      </c>
      <c r="J5" s="66" t="s">
        <v>110</v>
      </c>
      <c r="K5" s="66" t="s">
        <v>283</v>
      </c>
    </row>
    <row r="6" spans="1:11" ht="42.75">
      <c r="A6" t="s">
        <v>284</v>
      </c>
      <c r="B6" t="s">
        <v>221</v>
      </c>
      <c r="C6" s="90">
        <v>660</v>
      </c>
      <c r="D6" s="103">
        <v>627</v>
      </c>
      <c r="E6" s="103">
        <v>622</v>
      </c>
      <c r="F6" s="103">
        <v>28</v>
      </c>
      <c r="G6" s="104">
        <v>18</v>
      </c>
      <c r="H6" s="87" t="s">
        <v>253</v>
      </c>
      <c r="I6" s="88" t="s">
        <v>282</v>
      </c>
      <c r="J6" s="66" t="s">
        <v>110</v>
      </c>
      <c r="K6" s="66" t="s">
        <v>283</v>
      </c>
    </row>
    <row r="7" spans="1:11" ht="42.75">
      <c r="A7" t="s">
        <v>285</v>
      </c>
      <c r="B7" t="s">
        <v>221</v>
      </c>
      <c r="C7" s="90">
        <v>1836</v>
      </c>
      <c r="D7" s="103">
        <v>2620</v>
      </c>
      <c r="E7" s="103">
        <v>3734</v>
      </c>
      <c r="F7" s="103">
        <v>1068</v>
      </c>
      <c r="G7" s="104">
        <v>899</v>
      </c>
      <c r="H7" s="87" t="s">
        <v>253</v>
      </c>
      <c r="I7" s="88" t="s">
        <v>282</v>
      </c>
      <c r="J7" s="66" t="s">
        <v>110</v>
      </c>
      <c r="K7" s="66" t="s">
        <v>283</v>
      </c>
    </row>
    <row r="8" spans="1:11" ht="42.75">
      <c r="A8" t="s">
        <v>286</v>
      </c>
      <c r="B8" t="s">
        <v>235</v>
      </c>
      <c r="C8" s="94">
        <v>2.8999999999999998E-3</v>
      </c>
      <c r="D8" s="95">
        <v>3.5000000000000001E-3</v>
      </c>
      <c r="E8" s="95">
        <v>4.3E-3</v>
      </c>
      <c r="F8" s="95">
        <v>4.1000000000000003E-3</v>
      </c>
      <c r="G8" s="96">
        <v>3.5000000000000001E-3</v>
      </c>
      <c r="H8" s="87" t="s">
        <v>253</v>
      </c>
      <c r="I8" s="88" t="s">
        <v>282</v>
      </c>
      <c r="J8" s="66" t="s">
        <v>110</v>
      </c>
      <c r="K8" s="66" t="s">
        <v>287</v>
      </c>
    </row>
    <row r="9" spans="1:11" ht="42.75">
      <c r="A9" t="s">
        <v>169</v>
      </c>
      <c r="B9" t="s">
        <v>221</v>
      </c>
      <c r="C9" s="90">
        <v>3704</v>
      </c>
      <c r="D9" s="103">
        <v>5867</v>
      </c>
      <c r="E9" s="103">
        <v>8682</v>
      </c>
      <c r="F9" s="103">
        <v>9167</v>
      </c>
      <c r="G9" s="104">
        <v>9790</v>
      </c>
      <c r="H9" s="87" t="s">
        <v>253</v>
      </c>
      <c r="I9" s="88" t="s">
        <v>282</v>
      </c>
      <c r="J9" s="66" t="s">
        <v>110</v>
      </c>
      <c r="K9" s="66" t="s">
        <v>283</v>
      </c>
    </row>
    <row r="10" spans="1:11" ht="42.75">
      <c r="A10" t="s">
        <v>288</v>
      </c>
      <c r="B10" t="s">
        <v>235</v>
      </c>
      <c r="C10" s="94">
        <v>4.1999999999999997E-3</v>
      </c>
      <c r="D10" s="95">
        <v>5.8999999999999999E-3</v>
      </c>
      <c r="E10" s="95">
        <v>8.3000000000000001E-3</v>
      </c>
      <c r="F10" s="95">
        <v>8.6E-3</v>
      </c>
      <c r="G10" s="96">
        <v>8.9999999999999993E-3</v>
      </c>
      <c r="H10" s="87" t="s">
        <v>253</v>
      </c>
      <c r="I10" s="88" t="s">
        <v>282</v>
      </c>
      <c r="J10" s="66" t="s">
        <v>110</v>
      </c>
      <c r="K10" s="66" t="s">
        <v>287</v>
      </c>
    </row>
    <row r="11" spans="1:11" ht="42.75">
      <c r="A11" t="s">
        <v>165</v>
      </c>
      <c r="B11" t="s">
        <v>221</v>
      </c>
      <c r="C11" s="90">
        <v>5366</v>
      </c>
      <c r="D11" s="103">
        <v>6364</v>
      </c>
      <c r="E11" s="103">
        <v>7470</v>
      </c>
      <c r="F11" s="103">
        <v>7767</v>
      </c>
      <c r="G11" s="104">
        <v>7819</v>
      </c>
      <c r="H11" s="87" t="s">
        <v>253</v>
      </c>
      <c r="I11" s="88" t="s">
        <v>282</v>
      </c>
      <c r="J11" s="66" t="s">
        <v>110</v>
      </c>
      <c r="K11" s="66" t="s">
        <v>283</v>
      </c>
    </row>
    <row r="12" spans="1:11" ht="42.75">
      <c r="A12" t="s">
        <v>289</v>
      </c>
      <c r="B12" t="s">
        <v>221</v>
      </c>
      <c r="C12" s="90">
        <v>4200</v>
      </c>
      <c r="D12" s="103">
        <v>4836</v>
      </c>
      <c r="E12" s="103">
        <v>5473</v>
      </c>
      <c r="F12" s="103">
        <v>5471</v>
      </c>
      <c r="G12" s="104">
        <v>5487</v>
      </c>
      <c r="H12" s="87" t="s">
        <v>253</v>
      </c>
      <c r="I12" s="88" t="s">
        <v>282</v>
      </c>
      <c r="J12" s="66" t="s">
        <v>110</v>
      </c>
      <c r="K12" s="66" t="s">
        <v>283</v>
      </c>
    </row>
    <row r="13" spans="1:11" ht="42.75">
      <c r="A13" t="s">
        <v>290</v>
      </c>
      <c r="B13" t="s">
        <v>221</v>
      </c>
      <c r="C13" s="90">
        <v>1148</v>
      </c>
      <c r="D13" s="103">
        <v>1516</v>
      </c>
      <c r="E13" s="103">
        <v>1986</v>
      </c>
      <c r="F13" s="103">
        <v>2281</v>
      </c>
      <c r="G13" s="104">
        <v>2317</v>
      </c>
      <c r="H13" s="87" t="s">
        <v>253</v>
      </c>
      <c r="I13" s="88" t="s">
        <v>282</v>
      </c>
      <c r="J13" s="66" t="s">
        <v>110</v>
      </c>
      <c r="K13" s="66" t="s">
        <v>283</v>
      </c>
    </row>
    <row r="14" spans="1:11" ht="42.75">
      <c r="A14" t="s">
        <v>291</v>
      </c>
      <c r="B14" t="s">
        <v>235</v>
      </c>
      <c r="C14" s="94">
        <v>6.1000000000000004E-3</v>
      </c>
      <c r="D14" s="95">
        <v>6.4000000000000003E-3</v>
      </c>
      <c r="E14" s="95">
        <v>7.1000000000000004E-3</v>
      </c>
      <c r="F14" s="95">
        <v>7.3000000000000001E-3</v>
      </c>
      <c r="G14" s="96">
        <v>7.1999999999999998E-3</v>
      </c>
      <c r="H14" s="87" t="s">
        <v>253</v>
      </c>
      <c r="I14" s="88" t="s">
        <v>282</v>
      </c>
      <c r="J14" s="66" t="s">
        <v>110</v>
      </c>
      <c r="K14" s="66" t="s">
        <v>287</v>
      </c>
    </row>
    <row r="15" spans="1:11" ht="42.75">
      <c r="A15" t="s">
        <v>292</v>
      </c>
      <c r="B15" t="s">
        <v>235</v>
      </c>
      <c r="C15" s="94">
        <v>0.31</v>
      </c>
      <c r="D15" s="95">
        <v>0.25850000000000001</v>
      </c>
      <c r="E15" s="95">
        <v>0.2288</v>
      </c>
      <c r="F15" s="95">
        <v>0.24879999999999999</v>
      </c>
      <c r="G15" s="96">
        <v>0.23669999999999999</v>
      </c>
      <c r="H15" s="87" t="s">
        <v>253</v>
      </c>
      <c r="I15" s="88" t="s">
        <v>282</v>
      </c>
      <c r="J15" s="66" t="s">
        <v>110</v>
      </c>
      <c r="K15" s="66" t="s">
        <v>287</v>
      </c>
    </row>
    <row r="16" spans="1:11" ht="42.75">
      <c r="A16" t="s">
        <v>293</v>
      </c>
      <c r="B16" t="s">
        <v>235</v>
      </c>
      <c r="C16" s="98">
        <v>1.4E-3</v>
      </c>
      <c r="D16" s="99">
        <v>2.2000000000000001E-3</v>
      </c>
      <c r="E16" s="99">
        <v>2.8E-3</v>
      </c>
      <c r="F16" s="99">
        <v>2.3999999999999998E-3</v>
      </c>
      <c r="G16" s="100">
        <v>2.8E-3</v>
      </c>
      <c r="H16" s="87" t="s">
        <v>253</v>
      </c>
      <c r="I16" s="88" t="s">
        <v>282</v>
      </c>
      <c r="J16" s="66" t="s">
        <v>110</v>
      </c>
      <c r="K16" s="66" t="s">
        <v>294</v>
      </c>
    </row>
    <row r="17" spans="3:11">
      <c r="C17" s="98"/>
      <c r="D17" s="99"/>
      <c r="E17" s="99"/>
      <c r="F17" s="99"/>
      <c r="G17" s="100"/>
      <c r="H17" s="108"/>
      <c r="I17" s="109"/>
      <c r="J17" s="66"/>
      <c r="K17" s="66"/>
    </row>
  </sheetData>
  <mergeCells count="1">
    <mergeCell ref="A1: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7"/>
  <sheetViews>
    <sheetView topLeftCell="A12" workbookViewId="0"/>
  </sheetViews>
  <sheetFormatPr defaultRowHeight="14.25"/>
  <cols>
    <col min="1" max="1" width="42" customWidth="1"/>
    <col min="2" max="2" width="18" customWidth="1"/>
    <col min="3" max="7" width="13" customWidth="1"/>
    <col min="8" max="8" width="16" customWidth="1"/>
    <col min="9" max="9" width="20" customWidth="1"/>
    <col min="10" max="10" width="48" customWidth="1"/>
    <col min="11" max="11" width="28" customWidth="1"/>
  </cols>
  <sheetData>
    <row r="1" spans="1:11" ht="30" customHeight="1">
      <c r="A1" s="145" t="s">
        <v>295</v>
      </c>
      <c r="B1" s="145"/>
      <c r="C1" s="145"/>
      <c r="D1" s="145"/>
      <c r="E1" s="145"/>
      <c r="F1" s="145"/>
      <c r="G1" s="145"/>
      <c r="H1" s="145"/>
      <c r="I1" s="145"/>
      <c r="J1" s="145"/>
      <c r="K1" s="145"/>
    </row>
    <row r="2" spans="1:11" ht="30" customHeight="1">
      <c r="A2" s="145"/>
      <c r="B2" s="145"/>
      <c r="C2" s="145"/>
      <c r="D2" s="145"/>
      <c r="E2" s="145"/>
      <c r="F2" s="145"/>
      <c r="G2" s="145"/>
      <c r="H2" s="145"/>
      <c r="I2" s="145"/>
      <c r="J2" s="145"/>
      <c r="K2" s="145"/>
    </row>
    <row r="4" spans="1:11" ht="15">
      <c r="A4" s="59" t="s">
        <v>217</v>
      </c>
      <c r="B4" s="60" t="s">
        <v>218</v>
      </c>
      <c r="C4" s="60" t="s">
        <v>219</v>
      </c>
      <c r="D4" s="60" t="s">
        <v>220</v>
      </c>
      <c r="E4" s="60" t="s">
        <v>105</v>
      </c>
      <c r="F4" s="60" t="s">
        <v>252</v>
      </c>
      <c r="G4" s="60" t="s">
        <v>123</v>
      </c>
      <c r="H4" s="60" t="s">
        <v>94</v>
      </c>
      <c r="I4" s="60" t="s">
        <v>100</v>
      </c>
      <c r="J4" s="60" t="s">
        <v>101</v>
      </c>
      <c r="K4" s="61" t="s">
        <v>102</v>
      </c>
    </row>
    <row r="5" spans="1:11" ht="57">
      <c r="A5" t="s">
        <v>296</v>
      </c>
      <c r="B5" t="s">
        <v>221</v>
      </c>
      <c r="C5" s="82">
        <v>86611</v>
      </c>
      <c r="D5" s="83">
        <v>88936</v>
      </c>
      <c r="E5" s="83">
        <v>98748</v>
      </c>
      <c r="F5" s="83">
        <v>100415</v>
      </c>
      <c r="G5" s="84">
        <v>101313</v>
      </c>
      <c r="H5" s="85" t="s">
        <v>297</v>
      </c>
      <c r="I5" s="86" t="s">
        <v>298</v>
      </c>
      <c r="J5" s="66" t="s">
        <v>110</v>
      </c>
      <c r="K5" s="66" t="s">
        <v>299</v>
      </c>
    </row>
    <row r="6" spans="1:11" ht="57">
      <c r="A6" t="s">
        <v>300</v>
      </c>
      <c r="B6" t="s">
        <v>221</v>
      </c>
      <c r="C6" s="90">
        <v>93904</v>
      </c>
      <c r="D6" s="103">
        <v>97952</v>
      </c>
      <c r="E6" s="103">
        <v>110393</v>
      </c>
      <c r="F6" s="103">
        <v>111549</v>
      </c>
      <c r="G6" s="104">
        <v>112453</v>
      </c>
      <c r="H6" s="87" t="s">
        <v>297</v>
      </c>
      <c r="I6" s="88" t="s">
        <v>298</v>
      </c>
      <c r="J6" s="66" t="s">
        <v>110</v>
      </c>
      <c r="K6" s="66" t="s">
        <v>299</v>
      </c>
    </row>
    <row r="7" spans="1:11" ht="57">
      <c r="A7" t="s">
        <v>301</v>
      </c>
      <c r="B7" t="s">
        <v>221</v>
      </c>
      <c r="C7" s="90">
        <v>104952</v>
      </c>
      <c r="D7" s="103">
        <v>110487</v>
      </c>
      <c r="E7" s="103">
        <v>122399</v>
      </c>
      <c r="F7" s="103">
        <v>123732</v>
      </c>
      <c r="G7" s="104">
        <v>126286</v>
      </c>
      <c r="H7" s="87" t="s">
        <v>297</v>
      </c>
      <c r="I7" s="88" t="s">
        <v>298</v>
      </c>
      <c r="J7" s="66" t="s">
        <v>110</v>
      </c>
      <c r="K7" s="66" t="s">
        <v>299</v>
      </c>
    </row>
    <row r="8" spans="1:11" ht="57">
      <c r="A8" t="s">
        <v>302</v>
      </c>
      <c r="B8" t="s">
        <v>221</v>
      </c>
      <c r="C8" s="90">
        <v>596223</v>
      </c>
      <c r="D8" s="103">
        <v>672282</v>
      </c>
      <c r="E8" s="103">
        <v>730225</v>
      </c>
      <c r="F8" s="103">
        <v>734693</v>
      </c>
      <c r="G8" s="104">
        <v>748590</v>
      </c>
      <c r="H8" s="87" t="s">
        <v>297</v>
      </c>
      <c r="I8" s="88" t="s">
        <v>298</v>
      </c>
      <c r="J8" s="66" t="s">
        <v>110</v>
      </c>
      <c r="K8" s="66" t="s">
        <v>299</v>
      </c>
    </row>
    <row r="9" spans="1:11" ht="57">
      <c r="A9" t="s">
        <v>303</v>
      </c>
      <c r="B9" t="s">
        <v>235</v>
      </c>
      <c r="C9" s="94">
        <v>0.14499999999999999</v>
      </c>
      <c r="D9" s="95">
        <v>0.13200000000000001</v>
      </c>
      <c r="E9" s="95">
        <v>0.13500000000000001</v>
      </c>
      <c r="F9" s="95">
        <v>0.13700000000000001</v>
      </c>
      <c r="G9" s="96">
        <v>0.13500000000000001</v>
      </c>
      <c r="H9" s="87" t="s">
        <v>297</v>
      </c>
      <c r="I9" s="88" t="s">
        <v>298</v>
      </c>
      <c r="J9" s="66" t="s">
        <v>110</v>
      </c>
      <c r="K9" s="66" t="s">
        <v>299</v>
      </c>
    </row>
    <row r="10" spans="1:11" ht="57">
      <c r="A10" t="s">
        <v>304</v>
      </c>
      <c r="B10" t="s">
        <v>235</v>
      </c>
      <c r="C10" s="94">
        <v>0.157</v>
      </c>
      <c r="D10" s="95">
        <v>0.14599999999999999</v>
      </c>
      <c r="E10" s="95">
        <v>0.151</v>
      </c>
      <c r="F10" s="95">
        <v>0.152</v>
      </c>
      <c r="G10" s="96">
        <v>0.15</v>
      </c>
      <c r="H10" s="87" t="s">
        <v>297</v>
      </c>
      <c r="I10" s="88" t="s">
        <v>298</v>
      </c>
      <c r="J10" s="66" t="s">
        <v>110</v>
      </c>
      <c r="K10" s="66" t="s">
        <v>299</v>
      </c>
    </row>
    <row r="11" spans="1:11" ht="57">
      <c r="A11" t="s">
        <v>305</v>
      </c>
      <c r="B11" t="s">
        <v>235</v>
      </c>
      <c r="C11" s="94">
        <v>0.17599999999999999</v>
      </c>
      <c r="D11" s="95">
        <v>0.16400000000000001</v>
      </c>
      <c r="E11" s="95">
        <v>0.16800000000000001</v>
      </c>
      <c r="F11" s="95">
        <v>0.16800000000000001</v>
      </c>
      <c r="G11" s="96">
        <v>0.16900000000000001</v>
      </c>
      <c r="H11" s="87" t="s">
        <v>297</v>
      </c>
      <c r="I11" s="88" t="s">
        <v>298</v>
      </c>
      <c r="J11" s="66" t="s">
        <v>110</v>
      </c>
      <c r="K11" s="66" t="s">
        <v>299</v>
      </c>
    </row>
    <row r="12" spans="1:11" ht="57">
      <c r="A12" t="s">
        <v>306</v>
      </c>
      <c r="B12" t="s">
        <v>235</v>
      </c>
      <c r="C12" s="94">
        <v>4.2999999999999997E-2</v>
      </c>
      <c r="D12" s="95">
        <v>4.2000000000000003E-2</v>
      </c>
      <c r="E12" s="95">
        <v>4.3999999999999997E-2</v>
      </c>
      <c r="F12" s="95">
        <v>4.3999999999999997E-2</v>
      </c>
      <c r="G12" s="96">
        <v>4.2999999999999997E-2</v>
      </c>
      <c r="H12" s="87" t="s">
        <v>297</v>
      </c>
      <c r="I12" s="88" t="s">
        <v>298</v>
      </c>
      <c r="J12" s="66" t="s">
        <v>110</v>
      </c>
      <c r="K12" s="66" t="s">
        <v>299</v>
      </c>
    </row>
    <row r="13" spans="1:11" ht="57">
      <c r="A13" t="s">
        <v>193</v>
      </c>
      <c r="B13" t="s">
        <v>235</v>
      </c>
      <c r="C13" s="94"/>
      <c r="D13" s="95">
        <v>1.28</v>
      </c>
      <c r="E13" s="95">
        <v>1.27</v>
      </c>
      <c r="F13" s="95">
        <v>1.24</v>
      </c>
      <c r="G13" s="96">
        <v>1.26</v>
      </c>
      <c r="H13" s="87" t="s">
        <v>297</v>
      </c>
      <c r="I13" s="88" t="s">
        <v>298</v>
      </c>
      <c r="J13" s="66" t="s">
        <v>110</v>
      </c>
      <c r="K13" s="66" t="s">
        <v>307</v>
      </c>
    </row>
    <row r="14" spans="1:11" ht="57">
      <c r="A14" t="s">
        <v>198</v>
      </c>
      <c r="B14" t="s">
        <v>235</v>
      </c>
      <c r="C14" s="94"/>
      <c r="D14" s="95">
        <v>1.1399999999999999</v>
      </c>
      <c r="E14" s="95">
        <v>1.1200000000000001</v>
      </c>
      <c r="F14" s="95">
        <v>1.1100000000000001</v>
      </c>
      <c r="G14" s="96">
        <v>1.1100000000000001</v>
      </c>
      <c r="H14" s="87" t="s">
        <v>297</v>
      </c>
      <c r="I14" s="88" t="s">
        <v>298</v>
      </c>
      <c r="J14" s="66" t="s">
        <v>110</v>
      </c>
      <c r="K14" s="66" t="s">
        <v>308</v>
      </c>
    </row>
    <row r="15" spans="1:11" ht="57">
      <c r="A15" t="s">
        <v>277</v>
      </c>
      <c r="B15" t="s">
        <v>221</v>
      </c>
      <c r="C15" s="90">
        <v>107734</v>
      </c>
      <c r="D15" s="103">
        <v>118058</v>
      </c>
      <c r="E15" s="103">
        <v>127417</v>
      </c>
      <c r="F15" s="103">
        <v>128670</v>
      </c>
      <c r="G15" s="104">
        <v>129579</v>
      </c>
      <c r="H15" s="87" t="s">
        <v>297</v>
      </c>
      <c r="I15" s="88" t="s">
        <v>298</v>
      </c>
      <c r="J15" s="66" t="s">
        <v>110</v>
      </c>
      <c r="K15" s="66" t="s">
        <v>299</v>
      </c>
    </row>
    <row r="16" spans="1:11" ht="57">
      <c r="A16" t="s">
        <v>309</v>
      </c>
      <c r="B16" t="s">
        <v>232</v>
      </c>
      <c r="C16" s="110">
        <v>5.4</v>
      </c>
      <c r="D16" s="111">
        <v>5.6</v>
      </c>
      <c r="E16" s="111">
        <v>6.04</v>
      </c>
      <c r="F16" s="111">
        <v>1.64</v>
      </c>
      <c r="G16" s="112">
        <v>1.64</v>
      </c>
      <c r="H16" s="87" t="s">
        <v>297</v>
      </c>
      <c r="I16" s="88" t="s">
        <v>298</v>
      </c>
      <c r="J16" s="66" t="s">
        <v>110</v>
      </c>
      <c r="K16" s="66" t="s">
        <v>310</v>
      </c>
    </row>
    <row r="17" spans="3:11">
      <c r="C17" s="110"/>
      <c r="D17" s="111"/>
      <c r="E17" s="111"/>
      <c r="F17" s="111"/>
      <c r="G17" s="112"/>
      <c r="H17" s="108"/>
      <c r="I17" s="109"/>
      <c r="J17" s="66"/>
      <c r="K17" s="66"/>
    </row>
  </sheetData>
  <mergeCells count="1">
    <mergeCell ref="A1:K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9"/>
  <sheetViews>
    <sheetView workbookViewId="0"/>
  </sheetViews>
  <sheetFormatPr defaultRowHeight="14.25"/>
  <cols>
    <col min="1" max="1" width="14" customWidth="1"/>
    <col min="2" max="2" width="26" customWidth="1"/>
    <col min="3" max="8" width="15" customWidth="1"/>
    <col min="9" max="10" width="14" customWidth="1"/>
    <col min="11" max="11" width="36" customWidth="1"/>
  </cols>
  <sheetData>
    <row r="1" spans="1:12" ht="30" customHeight="1">
      <c r="A1" s="145" t="s">
        <v>311</v>
      </c>
      <c r="B1" s="145"/>
      <c r="C1" s="145"/>
      <c r="D1" s="145"/>
      <c r="E1" s="145"/>
      <c r="F1" s="145"/>
      <c r="G1" s="145"/>
      <c r="H1" s="145"/>
      <c r="I1" s="145"/>
      <c r="J1" s="145"/>
      <c r="K1" s="145"/>
    </row>
    <row r="2" spans="1:12" ht="30" customHeight="1">
      <c r="A2" s="145"/>
      <c r="B2" s="145"/>
      <c r="C2" s="145"/>
      <c r="D2" s="145"/>
      <c r="E2" s="145"/>
      <c r="F2" s="145"/>
      <c r="G2" s="145"/>
      <c r="H2" s="145"/>
      <c r="I2" s="145"/>
      <c r="J2" s="145"/>
      <c r="K2" s="145"/>
    </row>
    <row r="4" spans="1:12" ht="30">
      <c r="A4" s="59" t="s">
        <v>312</v>
      </c>
      <c r="B4" s="60" t="s">
        <v>313</v>
      </c>
      <c r="C4" s="60" t="s">
        <v>225</v>
      </c>
      <c r="D4" s="60" t="s">
        <v>150</v>
      </c>
      <c r="E4" s="60" t="s">
        <v>155</v>
      </c>
      <c r="F4" s="60" t="s">
        <v>161</v>
      </c>
      <c r="G4" s="60" t="s">
        <v>226</v>
      </c>
      <c r="H4" s="60" t="s">
        <v>229</v>
      </c>
      <c r="I4" s="60" t="s">
        <v>183</v>
      </c>
      <c r="J4" s="60" t="s">
        <v>186</v>
      </c>
      <c r="K4" s="61" t="s">
        <v>94</v>
      </c>
      <c r="L4" s="61" t="s">
        <v>102</v>
      </c>
    </row>
    <row r="5" spans="1:12" ht="228">
      <c r="A5" t="s">
        <v>219</v>
      </c>
      <c r="B5" t="s">
        <v>314</v>
      </c>
      <c r="C5" s="82">
        <v>15471</v>
      </c>
      <c r="D5" s="83">
        <v>10945</v>
      </c>
      <c r="E5" s="83">
        <v>4526</v>
      </c>
      <c r="F5" s="83">
        <v>1264</v>
      </c>
      <c r="G5" s="83">
        <v>6813</v>
      </c>
      <c r="H5" s="83">
        <v>5418</v>
      </c>
      <c r="I5" s="113">
        <v>0.28899999999999998</v>
      </c>
      <c r="J5" s="114">
        <v>0.44</v>
      </c>
      <c r="K5" s="66" t="s">
        <v>253</v>
      </c>
      <c r="L5" s="66" t="s">
        <v>315</v>
      </c>
    </row>
    <row r="6" spans="1:12" ht="228">
      <c r="A6" t="s">
        <v>219</v>
      </c>
      <c r="B6" t="s">
        <v>316</v>
      </c>
      <c r="C6" s="90">
        <v>6032</v>
      </c>
      <c r="D6" s="103">
        <v>4771</v>
      </c>
      <c r="E6" s="103">
        <v>1261</v>
      </c>
      <c r="F6" s="103">
        <v>315</v>
      </c>
      <c r="G6" s="103">
        <v>2143</v>
      </c>
      <c r="H6" s="103">
        <v>2582</v>
      </c>
      <c r="I6" s="95">
        <v>0.23699999999999999</v>
      </c>
      <c r="J6" s="96">
        <v>0.35499999999999998</v>
      </c>
      <c r="K6" s="66" t="s">
        <v>253</v>
      </c>
      <c r="L6" s="66" t="s">
        <v>315</v>
      </c>
    </row>
    <row r="7" spans="1:12" ht="228">
      <c r="A7" t="s">
        <v>219</v>
      </c>
      <c r="B7" t="s">
        <v>317</v>
      </c>
      <c r="C7" s="90">
        <v>18161</v>
      </c>
      <c r="D7" s="103">
        <v>4853</v>
      </c>
      <c r="E7" s="103">
        <v>13308</v>
      </c>
      <c r="F7" s="103">
        <v>328</v>
      </c>
      <c r="G7" s="103">
        <v>14387</v>
      </c>
      <c r="H7" s="103">
        <v>2693</v>
      </c>
      <c r="I7" s="95">
        <v>0.109</v>
      </c>
      <c r="J7" s="96"/>
      <c r="K7" s="66" t="s">
        <v>253</v>
      </c>
      <c r="L7" s="66" t="s">
        <v>315</v>
      </c>
    </row>
    <row r="8" spans="1:12" ht="228">
      <c r="A8" t="s">
        <v>219</v>
      </c>
      <c r="B8" t="s">
        <v>318</v>
      </c>
      <c r="C8" s="90">
        <v>1010</v>
      </c>
      <c r="D8" s="103"/>
      <c r="E8" s="103"/>
      <c r="F8" s="103">
        <v>0</v>
      </c>
      <c r="G8" s="103">
        <v>293</v>
      </c>
      <c r="H8" s="103">
        <v>549</v>
      </c>
      <c r="I8" s="95">
        <v>0.253</v>
      </c>
      <c r="J8" s="96"/>
      <c r="K8" s="66" t="s">
        <v>253</v>
      </c>
      <c r="L8" s="66" t="s">
        <v>315</v>
      </c>
    </row>
    <row r="9" spans="1:12" ht="228">
      <c r="A9" t="s">
        <v>219</v>
      </c>
      <c r="B9" t="s">
        <v>319</v>
      </c>
      <c r="C9" s="90">
        <v>11051</v>
      </c>
      <c r="D9" s="103">
        <v>3379</v>
      </c>
      <c r="E9" s="103">
        <v>7672</v>
      </c>
      <c r="F9" s="103">
        <v>561</v>
      </c>
      <c r="G9" s="103">
        <v>6509</v>
      </c>
      <c r="H9" s="103">
        <v>4139</v>
      </c>
      <c r="I9" s="95">
        <v>0.14599999999999999</v>
      </c>
      <c r="J9" s="96"/>
      <c r="K9" s="66" t="s">
        <v>253</v>
      </c>
      <c r="L9" s="66" t="s">
        <v>315</v>
      </c>
    </row>
    <row r="10" spans="1:12" ht="228">
      <c r="A10" t="s">
        <v>219</v>
      </c>
      <c r="B10" t="s">
        <v>320</v>
      </c>
      <c r="C10" s="90">
        <v>-261</v>
      </c>
      <c r="D10" s="103">
        <v>1181</v>
      </c>
      <c r="E10" s="103">
        <v>-1553</v>
      </c>
      <c r="F10" s="103">
        <v>0</v>
      </c>
      <c r="G10" s="103">
        <v>559</v>
      </c>
      <c r="H10" s="103">
        <v>-769</v>
      </c>
      <c r="I10" s="95"/>
      <c r="J10" s="96"/>
      <c r="K10" s="66" t="s">
        <v>253</v>
      </c>
      <c r="L10" s="66" t="s">
        <v>315</v>
      </c>
    </row>
    <row r="11" spans="1:12" ht="228">
      <c r="A11" t="s">
        <v>220</v>
      </c>
      <c r="B11" t="s">
        <v>314</v>
      </c>
      <c r="C11" s="90">
        <v>17342</v>
      </c>
      <c r="D11" s="103">
        <v>12438</v>
      </c>
      <c r="E11" s="103">
        <v>4904</v>
      </c>
      <c r="F11" s="103">
        <v>1802</v>
      </c>
      <c r="G11" s="103">
        <v>7485</v>
      </c>
      <c r="H11" s="103">
        <v>5921</v>
      </c>
      <c r="I11" s="95">
        <v>0.248</v>
      </c>
      <c r="J11" s="96">
        <v>0.432</v>
      </c>
      <c r="K11" s="66" t="s">
        <v>253</v>
      </c>
      <c r="L11" s="66" t="s">
        <v>315</v>
      </c>
    </row>
    <row r="12" spans="1:12" ht="228">
      <c r="A12" t="s">
        <v>220</v>
      </c>
      <c r="B12" t="s">
        <v>316</v>
      </c>
      <c r="C12" s="90">
        <v>7382</v>
      </c>
      <c r="D12" s="103">
        <v>6061</v>
      </c>
      <c r="E12" s="103">
        <v>1321</v>
      </c>
      <c r="F12" s="103">
        <v>975</v>
      </c>
      <c r="G12" s="103">
        <v>2512</v>
      </c>
      <c r="H12" s="103">
        <v>2818</v>
      </c>
      <c r="I12" s="95">
        <v>0.185</v>
      </c>
      <c r="J12" s="96">
        <v>0.34</v>
      </c>
      <c r="K12" s="66" t="s">
        <v>253</v>
      </c>
      <c r="L12" s="66" t="s">
        <v>315</v>
      </c>
    </row>
    <row r="13" spans="1:12" ht="228">
      <c r="A13" t="s">
        <v>220</v>
      </c>
      <c r="B13" t="s">
        <v>317</v>
      </c>
      <c r="C13" s="90">
        <v>19626</v>
      </c>
      <c r="D13" s="103">
        <v>4979</v>
      </c>
      <c r="E13" s="103">
        <v>14647</v>
      </c>
      <c r="F13" s="103">
        <v>29</v>
      </c>
      <c r="G13" s="103">
        <v>15312</v>
      </c>
      <c r="H13" s="103">
        <v>3422</v>
      </c>
      <c r="I13" s="95">
        <v>0.14399999999999999</v>
      </c>
      <c r="J13" s="96"/>
      <c r="K13" s="66" t="s">
        <v>253</v>
      </c>
      <c r="L13" s="66" t="s">
        <v>315</v>
      </c>
    </row>
    <row r="14" spans="1:12" ht="228">
      <c r="A14" t="s">
        <v>220</v>
      </c>
      <c r="B14" t="s">
        <v>318</v>
      </c>
      <c r="C14" s="90">
        <v>1224</v>
      </c>
      <c r="D14" s="103"/>
      <c r="E14" s="103"/>
      <c r="F14" s="103">
        <v>0</v>
      </c>
      <c r="G14" s="103">
        <v>285</v>
      </c>
      <c r="H14" s="103">
        <v>729</v>
      </c>
      <c r="I14" s="95">
        <v>0.35299999999999998</v>
      </c>
      <c r="J14" s="96"/>
      <c r="K14" s="66" t="s">
        <v>253</v>
      </c>
      <c r="L14" s="66" t="s">
        <v>315</v>
      </c>
    </row>
    <row r="15" spans="1:12" ht="228">
      <c r="A15" t="s">
        <v>220</v>
      </c>
      <c r="B15" t="s">
        <v>319</v>
      </c>
      <c r="C15" s="90">
        <v>12012</v>
      </c>
      <c r="D15" s="103">
        <v>3183</v>
      </c>
      <c r="E15" s="103">
        <v>8829</v>
      </c>
      <c r="F15" s="103">
        <v>424</v>
      </c>
      <c r="G15" s="103">
        <v>7016</v>
      </c>
      <c r="H15" s="103">
        <v>4573</v>
      </c>
      <c r="I15" s="95">
        <v>0.14199999999999999</v>
      </c>
      <c r="J15" s="96"/>
      <c r="K15" s="66" t="s">
        <v>253</v>
      </c>
      <c r="L15" s="66" t="s">
        <v>315</v>
      </c>
    </row>
    <row r="16" spans="1:12" ht="228">
      <c r="A16" t="s">
        <v>220</v>
      </c>
      <c r="B16" t="s">
        <v>320</v>
      </c>
      <c r="C16" s="90">
        <v>-242</v>
      </c>
      <c r="D16" s="103">
        <v>1292</v>
      </c>
      <c r="E16" s="103">
        <v>-2033</v>
      </c>
      <c r="F16" s="103">
        <v>0</v>
      </c>
      <c r="G16" s="103">
        <v>1167</v>
      </c>
      <c r="H16" s="103">
        <v>-1223</v>
      </c>
      <c r="I16" s="95"/>
      <c r="J16" s="96"/>
      <c r="K16" s="66" t="s">
        <v>253</v>
      </c>
      <c r="L16" s="66" t="s">
        <v>315</v>
      </c>
    </row>
    <row r="17" spans="1:12" ht="228">
      <c r="A17" t="s">
        <v>105</v>
      </c>
      <c r="B17" t="s">
        <v>314</v>
      </c>
      <c r="C17" s="90">
        <v>19854</v>
      </c>
      <c r="D17" s="103">
        <v>14496</v>
      </c>
      <c r="E17" s="103">
        <v>5358</v>
      </c>
      <c r="F17" s="103">
        <v>2105</v>
      </c>
      <c r="G17" s="103">
        <v>8001</v>
      </c>
      <c r="H17" s="103">
        <v>7105</v>
      </c>
      <c r="I17" s="95">
        <v>0.249</v>
      </c>
      <c r="J17" s="96">
        <v>0.40300000000000002</v>
      </c>
      <c r="K17" s="66" t="s">
        <v>253</v>
      </c>
      <c r="L17" s="66" t="s">
        <v>315</v>
      </c>
    </row>
    <row r="18" spans="1:12" ht="228">
      <c r="A18" t="s">
        <v>105</v>
      </c>
      <c r="B18" t="s">
        <v>316</v>
      </c>
      <c r="C18" s="90">
        <v>8562</v>
      </c>
      <c r="D18" s="103">
        <v>7268</v>
      </c>
      <c r="E18" s="103">
        <v>1294</v>
      </c>
      <c r="F18" s="103">
        <v>1550</v>
      </c>
      <c r="G18" s="103">
        <v>2833</v>
      </c>
      <c r="H18" s="103">
        <v>3020</v>
      </c>
      <c r="I18" s="95">
        <v>0.14899999999999999</v>
      </c>
      <c r="J18" s="96">
        <v>0.33100000000000002</v>
      </c>
      <c r="K18" s="66" t="s">
        <v>253</v>
      </c>
      <c r="L18" s="66" t="s">
        <v>315</v>
      </c>
    </row>
    <row r="19" spans="1:12" ht="228">
      <c r="A19" t="s">
        <v>105</v>
      </c>
      <c r="B19" t="s">
        <v>317</v>
      </c>
      <c r="C19" s="90">
        <v>22378</v>
      </c>
      <c r="D19" s="103">
        <v>5459</v>
      </c>
      <c r="E19" s="103">
        <v>16919</v>
      </c>
      <c r="F19" s="103">
        <v>120</v>
      </c>
      <c r="G19" s="103">
        <v>16769</v>
      </c>
      <c r="H19" s="103">
        <v>4289</v>
      </c>
      <c r="I19" s="95">
        <v>0.16600000000000001</v>
      </c>
      <c r="J19" s="96"/>
      <c r="K19" s="66" t="s">
        <v>253</v>
      </c>
      <c r="L19" s="66" t="s">
        <v>315</v>
      </c>
    </row>
    <row r="20" spans="1:12" ht="228">
      <c r="A20" t="s">
        <v>105</v>
      </c>
      <c r="B20" t="s">
        <v>318</v>
      </c>
      <c r="C20" s="90">
        <v>1321</v>
      </c>
      <c r="D20" s="103"/>
      <c r="E20" s="103"/>
      <c r="F20" s="103">
        <v>0</v>
      </c>
      <c r="G20" s="103">
        <v>315</v>
      </c>
      <c r="H20" s="103">
        <v>828</v>
      </c>
      <c r="I20" s="95">
        <v>0.40699999999999997</v>
      </c>
      <c r="J20" s="96"/>
      <c r="K20" s="66" t="s">
        <v>253</v>
      </c>
      <c r="L20" s="66" t="s">
        <v>315</v>
      </c>
    </row>
    <row r="21" spans="1:12" ht="228">
      <c r="A21" t="s">
        <v>105</v>
      </c>
      <c r="B21" t="s">
        <v>319</v>
      </c>
      <c r="C21" s="90">
        <v>14426</v>
      </c>
      <c r="D21" s="103">
        <v>4789</v>
      </c>
      <c r="E21" s="103">
        <v>9637</v>
      </c>
      <c r="F21" s="103">
        <v>587</v>
      </c>
      <c r="G21" s="103">
        <v>7966</v>
      </c>
      <c r="H21" s="103">
        <v>5393</v>
      </c>
      <c r="I21" s="95">
        <v>0.13700000000000001</v>
      </c>
      <c r="J21" s="96"/>
      <c r="K21" s="66" t="s">
        <v>253</v>
      </c>
      <c r="L21" s="66" t="s">
        <v>315</v>
      </c>
    </row>
    <row r="22" spans="1:12" ht="228">
      <c r="A22" t="s">
        <v>105</v>
      </c>
      <c r="B22" t="s">
        <v>320</v>
      </c>
      <c r="C22" s="90">
        <v>64</v>
      </c>
      <c r="D22" s="103">
        <v>988</v>
      </c>
      <c r="E22" s="103">
        <v>-1329</v>
      </c>
      <c r="F22" s="103">
        <v>0</v>
      </c>
      <c r="G22" s="103">
        <v>317</v>
      </c>
      <c r="H22" s="103">
        <v>-266</v>
      </c>
      <c r="I22" s="95"/>
      <c r="J22" s="96"/>
      <c r="K22" s="66" t="s">
        <v>253</v>
      </c>
      <c r="L22" s="66" t="s">
        <v>315</v>
      </c>
    </row>
    <row r="23" spans="1:12" ht="228">
      <c r="A23" t="s">
        <v>252</v>
      </c>
      <c r="B23" t="s">
        <v>314</v>
      </c>
      <c r="C23" s="90">
        <v>5238</v>
      </c>
      <c r="D23" s="103">
        <v>3831</v>
      </c>
      <c r="E23" s="103">
        <v>1407</v>
      </c>
      <c r="F23" s="103">
        <v>531</v>
      </c>
      <c r="G23" s="103">
        <v>2020</v>
      </c>
      <c r="H23" s="103">
        <v>1962</v>
      </c>
      <c r="I23" s="95">
        <v>0.26300000000000001</v>
      </c>
      <c r="J23" s="96">
        <v>0.38600000000000001</v>
      </c>
      <c r="K23" s="66" t="s">
        <v>253</v>
      </c>
      <c r="L23" s="66" t="s">
        <v>315</v>
      </c>
    </row>
    <row r="24" spans="1:12" ht="228">
      <c r="A24" t="s">
        <v>252</v>
      </c>
      <c r="B24" t="s">
        <v>316</v>
      </c>
      <c r="C24" s="90">
        <v>2207</v>
      </c>
      <c r="D24" s="103">
        <v>1895</v>
      </c>
      <c r="E24" s="103">
        <v>312</v>
      </c>
      <c r="F24" s="103">
        <v>286</v>
      </c>
      <c r="G24" s="103">
        <v>725</v>
      </c>
      <c r="H24" s="103">
        <v>863</v>
      </c>
      <c r="I24" s="95">
        <v>0.16900000000000001</v>
      </c>
      <c r="J24" s="96">
        <v>0.32900000000000001</v>
      </c>
      <c r="K24" s="66" t="s">
        <v>253</v>
      </c>
      <c r="L24" s="66" t="s">
        <v>315</v>
      </c>
    </row>
    <row r="25" spans="1:12" ht="228">
      <c r="A25" t="s">
        <v>252</v>
      </c>
      <c r="B25" t="s">
        <v>317</v>
      </c>
      <c r="C25" s="90">
        <v>6084</v>
      </c>
      <c r="D25" s="103">
        <v>1454</v>
      </c>
      <c r="E25" s="103">
        <v>4630</v>
      </c>
      <c r="F25" s="103">
        <v>18</v>
      </c>
      <c r="G25" s="103">
        <v>4384</v>
      </c>
      <c r="H25" s="103">
        <v>1295</v>
      </c>
      <c r="I25" s="95">
        <v>0.19600000000000001</v>
      </c>
      <c r="J25" s="96"/>
      <c r="K25" s="66" t="s">
        <v>253</v>
      </c>
      <c r="L25" s="66" t="s">
        <v>315</v>
      </c>
    </row>
    <row r="26" spans="1:12" ht="228">
      <c r="A26" t="s">
        <v>252</v>
      </c>
      <c r="B26" t="s">
        <v>318</v>
      </c>
      <c r="C26" s="90">
        <v>338</v>
      </c>
      <c r="D26" s="103"/>
      <c r="E26" s="103"/>
      <c r="F26" s="103">
        <v>0</v>
      </c>
      <c r="G26" s="103">
        <v>78</v>
      </c>
      <c r="H26" s="103">
        <v>213</v>
      </c>
      <c r="I26" s="95">
        <v>0.249</v>
      </c>
      <c r="J26" s="96"/>
      <c r="K26" s="66" t="s">
        <v>253</v>
      </c>
      <c r="L26" s="66" t="s">
        <v>315</v>
      </c>
    </row>
    <row r="27" spans="1:12" ht="228">
      <c r="A27" t="s">
        <v>252</v>
      </c>
      <c r="B27" t="s">
        <v>319</v>
      </c>
      <c r="C27" s="90">
        <v>4018</v>
      </c>
      <c r="D27" s="103">
        <v>1218</v>
      </c>
      <c r="E27" s="103">
        <v>2800</v>
      </c>
      <c r="F27" s="103">
        <v>256</v>
      </c>
      <c r="G27" s="103">
        <v>2119</v>
      </c>
      <c r="H27" s="103">
        <v>1478</v>
      </c>
      <c r="I27" s="95">
        <v>0.14399999999999999</v>
      </c>
      <c r="J27" s="96"/>
      <c r="K27" s="66" t="s">
        <v>253</v>
      </c>
      <c r="L27" s="66" t="s">
        <v>315</v>
      </c>
    </row>
    <row r="28" spans="1:12" ht="228">
      <c r="A28" t="s">
        <v>252</v>
      </c>
      <c r="B28" t="s">
        <v>320</v>
      </c>
      <c r="C28" s="90">
        <v>75</v>
      </c>
      <c r="D28" s="103">
        <v>187</v>
      </c>
      <c r="E28" s="103">
        <v>-202</v>
      </c>
      <c r="F28" s="103">
        <v>-1</v>
      </c>
      <c r="G28" s="103">
        <v>51</v>
      </c>
      <c r="H28" s="103">
        <v>-26</v>
      </c>
      <c r="I28" s="95"/>
      <c r="J28" s="96"/>
      <c r="K28" s="66" t="s">
        <v>253</v>
      </c>
      <c r="L28" s="66" t="s">
        <v>315</v>
      </c>
    </row>
    <row r="29" spans="1:12" ht="228">
      <c r="A29" t="s">
        <v>123</v>
      </c>
      <c r="B29" t="s">
        <v>314</v>
      </c>
      <c r="C29" s="90">
        <v>5049</v>
      </c>
      <c r="D29" s="103">
        <v>3715</v>
      </c>
      <c r="E29" s="103">
        <v>1334</v>
      </c>
      <c r="F29" s="103">
        <v>492</v>
      </c>
      <c r="G29" s="103">
        <v>1987</v>
      </c>
      <c r="H29" s="103">
        <v>1870</v>
      </c>
      <c r="I29" s="95">
        <v>0.254</v>
      </c>
      <c r="J29" s="96">
        <v>0.39400000000000002</v>
      </c>
      <c r="K29" s="66" t="s">
        <v>253</v>
      </c>
      <c r="L29" s="66" t="s">
        <v>315</v>
      </c>
    </row>
    <row r="30" spans="1:12" ht="228">
      <c r="A30" t="s">
        <v>123</v>
      </c>
      <c r="B30" t="s">
        <v>316</v>
      </c>
      <c r="C30" s="90">
        <v>2159</v>
      </c>
      <c r="D30" s="103">
        <v>1844</v>
      </c>
      <c r="E30" s="103">
        <v>315</v>
      </c>
      <c r="F30" s="103">
        <v>247</v>
      </c>
      <c r="G30" s="103">
        <v>730</v>
      </c>
      <c r="H30" s="103">
        <v>854</v>
      </c>
      <c r="I30" s="95">
        <v>0.17399999999999999</v>
      </c>
      <c r="J30" s="96">
        <v>0.33800000000000002</v>
      </c>
      <c r="K30" s="66" t="s">
        <v>253</v>
      </c>
      <c r="L30" s="66" t="s">
        <v>315</v>
      </c>
    </row>
    <row r="31" spans="1:12" ht="228">
      <c r="A31" t="s">
        <v>123</v>
      </c>
      <c r="B31" t="s">
        <v>317</v>
      </c>
      <c r="C31" s="90">
        <v>5954</v>
      </c>
      <c r="D31" s="103">
        <v>1429</v>
      </c>
      <c r="E31" s="103">
        <v>4525</v>
      </c>
      <c r="F31" s="103">
        <v>55</v>
      </c>
      <c r="G31" s="103">
        <v>4379</v>
      </c>
      <c r="H31" s="103">
        <v>1185</v>
      </c>
      <c r="I31" s="95">
        <v>0.186</v>
      </c>
      <c r="J31" s="96"/>
      <c r="K31" s="66" t="s">
        <v>253</v>
      </c>
      <c r="L31" s="66" t="s">
        <v>315</v>
      </c>
    </row>
    <row r="32" spans="1:12" ht="228">
      <c r="A32" t="s">
        <v>123</v>
      </c>
      <c r="B32" t="s">
        <v>318</v>
      </c>
      <c r="C32" s="90">
        <v>345</v>
      </c>
      <c r="D32" s="103"/>
      <c r="E32" s="103"/>
      <c r="F32" s="103">
        <v>0</v>
      </c>
      <c r="G32" s="103">
        <v>75</v>
      </c>
      <c r="H32" s="103">
        <v>218</v>
      </c>
      <c r="I32" s="95">
        <v>0.25900000000000001</v>
      </c>
      <c r="J32" s="96"/>
      <c r="K32" s="66" t="s">
        <v>253</v>
      </c>
      <c r="L32" s="66" t="s">
        <v>315</v>
      </c>
    </row>
    <row r="33" spans="1:12" ht="228">
      <c r="A33" t="s">
        <v>123</v>
      </c>
      <c r="B33" t="s">
        <v>319</v>
      </c>
      <c r="C33" s="90">
        <v>3943</v>
      </c>
      <c r="D33" s="103">
        <v>1315</v>
      </c>
      <c r="E33" s="103">
        <v>2628</v>
      </c>
      <c r="F33" s="103">
        <v>117</v>
      </c>
      <c r="G33" s="103">
        <v>2097</v>
      </c>
      <c r="H33" s="103">
        <v>1484</v>
      </c>
      <c r="I33" s="95">
        <v>0.14799999999999999</v>
      </c>
      <c r="J33" s="96"/>
      <c r="K33" s="66" t="s">
        <v>253</v>
      </c>
      <c r="L33" s="66" t="s">
        <v>315</v>
      </c>
    </row>
    <row r="34" spans="1:12" ht="228">
      <c r="A34" t="s">
        <v>123</v>
      </c>
      <c r="B34" t="s">
        <v>320</v>
      </c>
      <c r="C34" s="105">
        <v>3</v>
      </c>
      <c r="D34" s="106">
        <v>203</v>
      </c>
      <c r="E34" s="106">
        <v>-279</v>
      </c>
      <c r="F34" s="106">
        <v>1</v>
      </c>
      <c r="G34" s="106">
        <v>95</v>
      </c>
      <c r="H34" s="106">
        <v>-102</v>
      </c>
      <c r="I34" s="99"/>
      <c r="J34" s="100"/>
      <c r="K34" s="66" t="s">
        <v>253</v>
      </c>
      <c r="L34" s="66" t="s">
        <v>315</v>
      </c>
    </row>
    <row r="35" spans="1:12">
      <c r="C35" s="90"/>
      <c r="D35" s="103"/>
      <c r="E35" s="103"/>
      <c r="F35" s="103"/>
      <c r="G35" s="103"/>
      <c r="H35" s="103"/>
      <c r="I35" s="95"/>
      <c r="J35" s="96"/>
      <c r="K35" s="66"/>
    </row>
    <row r="36" spans="1:12">
      <c r="C36" s="90"/>
      <c r="D36" s="103"/>
      <c r="E36" s="103"/>
      <c r="F36" s="103"/>
      <c r="G36" s="103"/>
      <c r="H36" s="103"/>
      <c r="I36" s="95"/>
      <c r="J36" s="96"/>
      <c r="K36" s="66"/>
    </row>
    <row r="37" spans="1:12">
      <c r="C37" s="90"/>
      <c r="D37" s="103"/>
      <c r="E37" s="103"/>
      <c r="F37" s="103"/>
      <c r="G37" s="103"/>
      <c r="H37" s="103"/>
      <c r="I37" s="95"/>
      <c r="J37" s="96"/>
      <c r="K37" s="66"/>
    </row>
    <row r="38" spans="1:12">
      <c r="C38" s="90"/>
      <c r="D38" s="103"/>
      <c r="E38" s="103"/>
      <c r="F38" s="103"/>
      <c r="G38" s="103"/>
      <c r="H38" s="103"/>
      <c r="I38" s="95"/>
      <c r="J38" s="96"/>
      <c r="K38" s="66"/>
    </row>
    <row r="39" spans="1:12">
      <c r="C39" s="105"/>
      <c r="D39" s="106"/>
      <c r="E39" s="106"/>
      <c r="F39" s="106"/>
      <c r="G39" s="106"/>
      <c r="H39" s="106"/>
      <c r="I39" s="99"/>
      <c r="J39" s="100"/>
      <c r="K39" s="66"/>
    </row>
  </sheetData>
  <mergeCells count="1">
    <mergeCell ref="A1:K2"/>
  </mergeCells>
  <dataValidations count="2">
    <dataValidation type="list" sqref="A5:A39" xr:uid="{00000000-0002-0000-0900-000000000000}">
      <formula1>"FY2023,FY2024,FY2025,Q1 2026,Q2 2026"</formula1>
    </dataValidation>
    <dataValidation type="list" sqref="B5:B39" xr:uid="{00000000-0002-0000-0900-000001000000}">
      <formula1>"Personal Banking,Commercial Banking,Wealth Management,Insurance,Capital Markets,Corporate Support,Total RBC"</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9"/>
  <sheetViews>
    <sheetView topLeftCell="A3" workbookViewId="0"/>
  </sheetViews>
  <sheetFormatPr defaultRowHeight="14.25"/>
  <cols>
    <col min="1" max="1" width="42" customWidth="1"/>
    <col min="2" max="6" width="14" customWidth="1"/>
  </cols>
  <sheetData>
    <row r="1" spans="1:6" ht="30" customHeight="1">
      <c r="A1" s="145" t="s">
        <v>321</v>
      </c>
      <c r="B1" s="145"/>
      <c r="C1" s="145"/>
      <c r="D1" s="145"/>
      <c r="E1" s="145"/>
      <c r="F1" s="145"/>
    </row>
    <row r="2" spans="1:6" ht="30" customHeight="1">
      <c r="A2" s="145"/>
      <c r="B2" s="145"/>
      <c r="C2" s="145"/>
      <c r="D2" s="145"/>
      <c r="E2" s="145"/>
      <c r="F2" s="145"/>
    </row>
    <row r="4" spans="1:6" ht="15">
      <c r="A4" s="59" t="s">
        <v>217</v>
      </c>
      <c r="B4" s="60" t="s">
        <v>219</v>
      </c>
      <c r="C4" s="60" t="s">
        <v>220</v>
      </c>
      <c r="D4" s="61" t="s">
        <v>105</v>
      </c>
      <c r="E4" s="60"/>
      <c r="F4" s="61"/>
    </row>
    <row r="5" spans="1:6">
      <c r="A5" t="s">
        <v>150</v>
      </c>
      <c r="B5" s="28">
        <f>IFERROR(INDEX('05_Raw_Annual_Performance'!$C$5:$E$100,MATCH($A5,'05_Raw_Annual_Performance'!$A$5:$A$100,0),MATCH(B$4,'05_Raw_Annual_Performance'!$C$4:$E$4,0)),"")</f>
        <v>25129</v>
      </c>
      <c r="C5" s="10">
        <f>IFERROR(INDEX('05_Raw_Annual_Performance'!$C$5:$E$100,MATCH($A5,'05_Raw_Annual_Performance'!$A$5:$A$100,0),MATCH(C$4,'05_Raw_Annual_Performance'!$C$4:$E$4,0)),"")</f>
        <v>27953</v>
      </c>
      <c r="D5" s="11">
        <f>IFERROR(INDEX('05_Raw_Annual_Performance'!$C$5:$E$100,MATCH($A5,'05_Raw_Annual_Performance'!$A$5:$A$100,0),MATCH(D$4,'05_Raw_Annual_Performance'!$C$4:$E$4,0)),"")</f>
        <v>33000</v>
      </c>
      <c r="E5" s="10"/>
      <c r="F5" s="11"/>
    </row>
    <row r="6" spans="1:6">
      <c r="A6" t="s">
        <v>155</v>
      </c>
      <c r="B6" s="29">
        <f>IFERROR(INDEX('05_Raw_Annual_Performance'!$C$5:$E$100,MATCH($A6,'05_Raw_Annual_Performance'!$A$5:$A$100,0),MATCH(B$4,'05_Raw_Annual_Performance'!$C$4:$E$4,0)),"")</f>
        <v>26335</v>
      </c>
      <c r="C6" s="9">
        <f>IFERROR(INDEX('05_Raw_Annual_Performance'!$C$5:$E$100,MATCH($A6,'05_Raw_Annual_Performance'!$A$5:$A$100,0),MATCH(C$4,'05_Raw_Annual_Performance'!$C$4:$E$4,0)),"")</f>
        <v>29391</v>
      </c>
      <c r="D6" s="12">
        <f>IFERROR(INDEX('05_Raw_Annual_Performance'!$C$5:$E$100,MATCH($A6,'05_Raw_Annual_Performance'!$A$5:$A$100,0),MATCH(D$4,'05_Raw_Annual_Performance'!$C$4:$E$4,0)),"")</f>
        <v>33605</v>
      </c>
      <c r="E6" s="9"/>
      <c r="F6" s="12"/>
    </row>
    <row r="7" spans="1:6">
      <c r="A7" t="s">
        <v>225</v>
      </c>
      <c r="B7" s="29">
        <f>IFERROR(INDEX('05_Raw_Annual_Performance'!$C$5:$E$100,MATCH($A7,'05_Raw_Annual_Performance'!$A$5:$A$100,0),MATCH(B$4,'05_Raw_Annual_Performance'!$C$4:$E$4,0)),"")</f>
        <v>51464</v>
      </c>
      <c r="C7" s="9">
        <f>IFERROR(INDEX('05_Raw_Annual_Performance'!$C$5:$E$100,MATCH($A7,'05_Raw_Annual_Performance'!$A$5:$A$100,0),MATCH(C$4,'05_Raw_Annual_Performance'!$C$4:$E$4,0)),"")</f>
        <v>57344</v>
      </c>
      <c r="D7" s="12">
        <f>IFERROR(INDEX('05_Raw_Annual_Performance'!$C$5:$E$100,MATCH($A7,'05_Raw_Annual_Performance'!$A$5:$A$100,0),MATCH(D$4,'05_Raw_Annual_Performance'!$C$4:$E$4,0)),"")</f>
        <v>66605</v>
      </c>
      <c r="E7" s="9"/>
      <c r="F7" s="12"/>
    </row>
    <row r="8" spans="1:6">
      <c r="A8" t="s">
        <v>160</v>
      </c>
      <c r="B8" s="29">
        <f>IFERROR(INDEX('05_Raw_Annual_Performance'!$C$5:$E$100,MATCH($A8,'05_Raw_Annual_Performance'!$A$5:$A$100,0),MATCH(B$4,'05_Raw_Annual_Performance'!$C$4:$E$4,0)),"")</f>
        <v>2468</v>
      </c>
      <c r="C8" s="9">
        <f>IFERROR(INDEX('05_Raw_Annual_Performance'!$C$5:$E$100,MATCH($A8,'05_Raw_Annual_Performance'!$A$5:$A$100,0),MATCH(C$4,'05_Raw_Annual_Performance'!$C$4:$E$4,0)),"")</f>
        <v>3232</v>
      </c>
      <c r="D8" s="12">
        <f>IFERROR(INDEX('05_Raw_Annual_Performance'!$C$5:$E$100,MATCH($A8,'05_Raw_Annual_Performance'!$A$5:$A$100,0),MATCH(D$4,'05_Raw_Annual_Performance'!$C$4:$E$4,0)),"")</f>
        <v>4362</v>
      </c>
      <c r="E8" s="9"/>
      <c r="F8" s="12"/>
    </row>
    <row r="9" spans="1:6">
      <c r="A9" t="s">
        <v>226</v>
      </c>
      <c r="B9" s="29">
        <f>IFERROR(INDEX('05_Raw_Annual_Performance'!$C$5:$E$100,MATCH($A9,'05_Raw_Annual_Performance'!$A$5:$A$100,0),MATCH(B$4,'05_Raw_Annual_Performance'!$C$4:$E$4,0)),"")</f>
        <v>30813</v>
      </c>
      <c r="C9" s="9">
        <f>IFERROR(INDEX('05_Raw_Annual_Performance'!$C$5:$E$100,MATCH($A9,'05_Raw_Annual_Performance'!$A$5:$A$100,0),MATCH(C$4,'05_Raw_Annual_Performance'!$C$4:$E$4,0)),"")</f>
        <v>34250</v>
      </c>
      <c r="D9" s="12">
        <f>IFERROR(INDEX('05_Raw_Annual_Performance'!$C$5:$E$100,MATCH($A9,'05_Raw_Annual_Performance'!$A$5:$A$100,0),MATCH(D$4,'05_Raw_Annual_Performance'!$C$4:$E$4,0)),"")</f>
        <v>36592</v>
      </c>
      <c r="E9" s="9"/>
      <c r="F9" s="12"/>
    </row>
    <row r="10" spans="1:6">
      <c r="A10" t="s">
        <v>227</v>
      </c>
      <c r="B10" s="29">
        <f>IFERROR(INDEX('05_Raw_Annual_Performance'!$C$5:$E$100,MATCH($A10,'05_Raw_Annual_Performance'!$A$5:$A$100,0),MATCH(B$4,'05_Raw_Annual_Performance'!$C$4:$E$4,0)),"")</f>
        <v>18183</v>
      </c>
      <c r="C10" s="9">
        <f>IFERROR(INDEX('05_Raw_Annual_Performance'!$C$5:$E$100,MATCH($A10,'05_Raw_Annual_Performance'!$A$5:$A$100,0),MATCH(C$4,'05_Raw_Annual_Performance'!$C$4:$E$4,0)),"")</f>
        <v>19862</v>
      </c>
      <c r="D10" s="12">
        <f>IFERROR(INDEX('05_Raw_Annual_Performance'!$C$5:$E$100,MATCH($A10,'05_Raw_Annual_Performance'!$A$5:$A$100,0),MATCH(D$4,'05_Raw_Annual_Performance'!$C$4:$E$4,0)),"")</f>
        <v>25651</v>
      </c>
      <c r="E10" s="9"/>
      <c r="F10" s="12"/>
    </row>
    <row r="11" spans="1:6">
      <c r="A11" t="s">
        <v>228</v>
      </c>
      <c r="B11" s="29">
        <f>IFERROR(INDEX('05_Raw_Annual_Performance'!$C$5:$E$100,MATCH($A11,'05_Raw_Annual_Performance'!$A$5:$A$100,0),MATCH(B$4,'05_Raw_Annual_Performance'!$C$4:$E$4,0)),"")</f>
        <v>3571</v>
      </c>
      <c r="C11" s="9">
        <f>IFERROR(INDEX('05_Raw_Annual_Performance'!$C$5:$E$100,MATCH($A11,'05_Raw_Annual_Performance'!$A$5:$A$100,0),MATCH(C$4,'05_Raw_Annual_Performance'!$C$4:$E$4,0)),"")</f>
        <v>3622</v>
      </c>
      <c r="D11" s="12">
        <f>IFERROR(INDEX('05_Raw_Annual_Performance'!$C$5:$E$100,MATCH($A11,'05_Raw_Annual_Performance'!$A$5:$A$100,0),MATCH(D$4,'05_Raw_Annual_Performance'!$C$4:$E$4,0)),"")</f>
        <v>5282</v>
      </c>
      <c r="E11" s="9"/>
      <c r="F11" s="12"/>
    </row>
    <row r="12" spans="1:6">
      <c r="A12" t="s">
        <v>229</v>
      </c>
      <c r="B12" s="29">
        <f>IFERROR(INDEX('05_Raw_Annual_Performance'!$C$5:$E$100,MATCH($A12,'05_Raw_Annual_Performance'!$A$5:$A$100,0),MATCH(B$4,'05_Raw_Annual_Performance'!$C$4:$E$4,0)),"")</f>
        <v>14612</v>
      </c>
      <c r="C12" s="9">
        <f>IFERROR(INDEX('05_Raw_Annual_Performance'!$C$5:$E$100,MATCH($A12,'05_Raw_Annual_Performance'!$A$5:$A$100,0),MATCH(C$4,'05_Raw_Annual_Performance'!$C$4:$E$4,0)),"")</f>
        <v>16240</v>
      </c>
      <c r="D12" s="12">
        <f>IFERROR(INDEX('05_Raw_Annual_Performance'!$C$5:$E$100,MATCH($A12,'05_Raw_Annual_Performance'!$A$5:$A$100,0),MATCH(D$4,'05_Raw_Annual_Performance'!$C$4:$E$4,0)),"")</f>
        <v>20369</v>
      </c>
      <c r="E12" s="9"/>
      <c r="F12" s="12"/>
    </row>
    <row r="13" spans="1:6">
      <c r="A13" t="s">
        <v>230</v>
      </c>
      <c r="B13" s="29">
        <f>IFERROR(INDEX('05_Raw_Annual_Performance'!$C$5:$E$100,MATCH($A13,'05_Raw_Annual_Performance'!$A$5:$A$100,0),MATCH(B$4,'05_Raw_Annual_Performance'!$C$4:$E$4,0)),"")</f>
        <v>14369</v>
      </c>
      <c r="C13" s="9">
        <f>IFERROR(INDEX('05_Raw_Annual_Performance'!$C$5:$E$100,MATCH($A13,'05_Raw_Annual_Performance'!$A$5:$A$100,0),MATCH(C$4,'05_Raw_Annual_Performance'!$C$4:$E$4,0)),"")</f>
        <v>15908</v>
      </c>
      <c r="D13" s="12">
        <f>IFERROR(INDEX('05_Raw_Annual_Performance'!$C$5:$E$100,MATCH($A13,'05_Raw_Annual_Performance'!$A$5:$A$100,0),MATCH(D$4,'05_Raw_Annual_Performance'!$C$4:$E$4,0)),"")</f>
        <v>19868</v>
      </c>
      <c r="E13" s="9"/>
      <c r="F13" s="12"/>
    </row>
    <row r="14" spans="1:6">
      <c r="A14" t="s">
        <v>231</v>
      </c>
      <c r="B14" s="30">
        <f>IFERROR(INDEX('05_Raw_Annual_Performance'!$C$5:$E$100,MATCH($A14,'05_Raw_Annual_Performance'!$A$5:$A$100,0),MATCH(B$4,'05_Raw_Annual_Performance'!$C$4:$E$4,0)),"")</f>
        <v>10.32</v>
      </c>
      <c r="C14" s="13">
        <f>IFERROR(INDEX('05_Raw_Annual_Performance'!$C$5:$E$100,MATCH($A14,'05_Raw_Annual_Performance'!$A$5:$A$100,0),MATCH(C$4,'05_Raw_Annual_Performance'!$C$4:$E$4,0)),"")</f>
        <v>11.25</v>
      </c>
      <c r="D14" s="14">
        <f>IFERROR(INDEX('05_Raw_Annual_Performance'!$C$5:$E$100,MATCH($A14,'05_Raw_Annual_Performance'!$A$5:$A$100,0),MATCH(D$4,'05_Raw_Annual_Performance'!$C$4:$E$4,0)),"")</f>
        <v>14.07</v>
      </c>
      <c r="E14" s="13"/>
      <c r="F14" s="14"/>
    </row>
    <row r="15" spans="1:6">
      <c r="A15" t="s">
        <v>183</v>
      </c>
      <c r="B15" s="31">
        <f>IFERROR(INDEX('05_Raw_Annual_Performance'!$C$5:$E$100,MATCH($A15,'05_Raw_Annual_Performance'!$A$5:$A$100,0),MATCH(B$4,'05_Raw_Annual_Performance'!$C$4:$E$4,0)),"")</f>
        <v>0.14299999999999999</v>
      </c>
      <c r="C15" s="15">
        <f>IFERROR(INDEX('05_Raw_Annual_Performance'!$C$5:$E$100,MATCH($A15,'05_Raw_Annual_Performance'!$A$5:$A$100,0),MATCH(C$4,'05_Raw_Annual_Performance'!$C$4:$E$4,0)),"")</f>
        <v>0.14399999999999999</v>
      </c>
      <c r="D15" s="16">
        <f>IFERROR(INDEX('05_Raw_Annual_Performance'!$C$5:$E$100,MATCH($A15,'05_Raw_Annual_Performance'!$A$5:$A$100,0),MATCH(D$4,'05_Raw_Annual_Performance'!$C$4:$E$4,0)),"")</f>
        <v>0.16300000000000001</v>
      </c>
      <c r="E15" s="15"/>
      <c r="F15" s="16"/>
    </row>
    <row r="16" spans="1:6">
      <c r="A16" t="s">
        <v>186</v>
      </c>
      <c r="B16" s="31">
        <f>IFERROR(INDEX('05_Raw_Annual_Performance'!$C$5:$E$100,MATCH($A16,'05_Raw_Annual_Performance'!$A$5:$A$100,0),MATCH(B$4,'05_Raw_Annual_Performance'!$C$4:$E$4,0)),"")</f>
        <v>0.59899999999999998</v>
      </c>
      <c r="C16" s="15">
        <f>IFERROR(INDEX('05_Raw_Annual_Performance'!$C$5:$E$100,MATCH($A16,'05_Raw_Annual_Performance'!$A$5:$A$100,0),MATCH(C$4,'05_Raw_Annual_Performance'!$C$4:$E$4,0)),"")</f>
        <v>0.59699999999999998</v>
      </c>
      <c r="D16" s="16">
        <f>IFERROR(INDEX('05_Raw_Annual_Performance'!$C$5:$E$100,MATCH($A16,'05_Raw_Annual_Performance'!$A$5:$A$100,0),MATCH(D$4,'05_Raw_Annual_Performance'!$C$4:$E$4,0)),"")</f>
        <v>0.54900000000000004</v>
      </c>
      <c r="E16" s="15"/>
      <c r="F16" s="16"/>
    </row>
    <row r="17" spans="1:6">
      <c r="A17" t="s">
        <v>189</v>
      </c>
      <c r="B17" s="31">
        <f>IFERROR(INDEX('05_Raw_Annual_Performance'!$C$5:$E$100,MATCH($A17,'05_Raw_Annual_Performance'!$A$5:$A$100,0),MATCH(B$4,'05_Raw_Annual_Performance'!$C$4:$E$4,0)),"")</f>
        <v>-0.107</v>
      </c>
      <c r="C17" s="15">
        <f>IFERROR(INDEX('05_Raw_Annual_Performance'!$C$5:$E$100,MATCH($A17,'05_Raw_Annual_Performance'!$A$5:$A$100,0),MATCH(C$4,'05_Raw_Annual_Performance'!$C$4:$E$4,0)),"")</f>
        <v>2E-3</v>
      </c>
      <c r="D17" s="16">
        <f>IFERROR(INDEX('05_Raw_Annual_Performance'!$C$5:$E$100,MATCH($A17,'05_Raw_Annual_Performance'!$A$5:$A$100,0),MATCH(D$4,'05_Raw_Annual_Performance'!$C$4:$E$4,0)),"")</f>
        <v>9.2999999999999999E-2</v>
      </c>
      <c r="E17" s="15"/>
      <c r="F17" s="16"/>
    </row>
    <row r="18" spans="1:6">
      <c r="A18" t="s">
        <v>237</v>
      </c>
      <c r="B18" s="29">
        <f>IFERROR(INDEX('05_Raw_Annual_Performance'!$C$5:$E$100,MATCH($A18,'05_Raw_Annual_Performance'!$A$5:$A$100,0),MATCH(B$4,'05_Raw_Annual_Performance'!$C$4:$E$4,0)),"")</f>
        <v>20651</v>
      </c>
      <c r="C18" s="9">
        <f>IFERROR(INDEX('05_Raw_Annual_Performance'!$C$5:$E$100,MATCH($A18,'05_Raw_Annual_Performance'!$A$5:$A$100,0),MATCH(C$4,'05_Raw_Annual_Performance'!$C$4:$E$4,0)),"")</f>
        <v>23094</v>
      </c>
      <c r="D18" s="12">
        <f>IFERROR(INDEX('05_Raw_Annual_Performance'!$C$5:$E$100,MATCH($A18,'05_Raw_Annual_Performance'!$A$5:$A$100,0),MATCH(D$4,'05_Raw_Annual_Performance'!$C$4:$E$4,0)),"")</f>
        <v>30013</v>
      </c>
      <c r="E18" s="15"/>
      <c r="F18" s="16"/>
    </row>
    <row r="19" spans="1:6">
      <c r="A19" t="s">
        <v>241</v>
      </c>
      <c r="B19" s="17">
        <f>IFERROR(INDEX('05_Raw_Annual_Performance'!$C$5:$E$100,MATCH($A19,'05_Raw_Annual_Performance'!$A$5:$A$100,0),MATCH(B$4,'05_Raw_Annual_Performance'!$C$4:$E$4,0)),"")</f>
        <v>0.19639223450475718</v>
      </c>
      <c r="C19" s="18">
        <f>IFERROR(INDEX('05_Raw_Annual_Performance'!$C$5:$E$100,MATCH($A19,'05_Raw_Annual_Performance'!$A$5:$A$100,0),MATCH(C$4,'05_Raw_Annual_Performance'!$C$4:$E$4,0)),"")</f>
        <v>0.1823582720773336</v>
      </c>
      <c r="D19" s="19">
        <f>IFERROR(INDEX('05_Raw_Annual_Performance'!$C$5:$E$100,MATCH($A19,'05_Raw_Annual_Performance'!$A$5:$A$100,0),MATCH(D$4,'05_Raw_Annual_Performance'!$C$4:$E$4,0)),"")</f>
        <v>0.20591789793770224</v>
      </c>
      <c r="E19" s="18"/>
      <c r="F19" s="19"/>
    </row>
  </sheetData>
  <mergeCells count="1">
    <mergeCell ref="A1: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5"/>
  <sheetViews>
    <sheetView workbookViewId="0"/>
  </sheetViews>
  <sheetFormatPr defaultRowHeight="14.25"/>
  <cols>
    <col min="1" max="1" width="42" customWidth="1"/>
    <col min="2" max="6" width="14" customWidth="1"/>
  </cols>
  <sheetData>
    <row r="1" spans="1:6" ht="30" customHeight="1">
      <c r="A1" s="145" t="s">
        <v>322</v>
      </c>
      <c r="B1" s="145"/>
      <c r="C1" s="145"/>
      <c r="D1" s="145"/>
      <c r="E1" s="145"/>
      <c r="F1" s="145"/>
    </row>
    <row r="2" spans="1:6" ht="30" customHeight="1">
      <c r="A2" s="145"/>
      <c r="B2" s="145"/>
      <c r="C2" s="145"/>
      <c r="D2" s="145"/>
      <c r="E2" s="145"/>
      <c r="F2" s="145"/>
    </row>
    <row r="4" spans="1:6" ht="15">
      <c r="A4" s="59" t="s">
        <v>217</v>
      </c>
      <c r="B4" s="60" t="s">
        <v>219</v>
      </c>
      <c r="C4" s="60" t="s">
        <v>220</v>
      </c>
      <c r="D4" s="60" t="s">
        <v>105</v>
      </c>
      <c r="E4" s="60" t="s">
        <v>252</v>
      </c>
      <c r="F4" s="61" t="s">
        <v>123</v>
      </c>
    </row>
    <row r="5" spans="1:6">
      <c r="A5" t="s">
        <v>257</v>
      </c>
      <c r="B5" s="28">
        <f>IFERROR(INDEX('07_Raw_Balance_Sheet'!$C$5:$G$100,MATCH($A5,'07_Raw_Balance_Sheet'!$A$5:$A$100,0),MATCH(B$4,'07_Raw_Balance_Sheet'!$C$4:$G$4,0)),"")</f>
        <v>2006531</v>
      </c>
      <c r="C5" s="10">
        <f>IFERROR(INDEX('07_Raw_Balance_Sheet'!$C$5:$G$100,MATCH($A5,'07_Raw_Balance_Sheet'!$A$5:$A$100,0),MATCH(C$4,'07_Raw_Balance_Sheet'!$C$4:$G$4,0)),"")</f>
        <v>2171582</v>
      </c>
      <c r="D5" s="10">
        <f>IFERROR(INDEX('07_Raw_Balance_Sheet'!$C$5:$G$100,MATCH($A5,'07_Raw_Balance_Sheet'!$A$5:$A$100,0),MATCH(D$4,'07_Raw_Balance_Sheet'!$C$4:$G$4,0)),"")</f>
        <v>2325006</v>
      </c>
      <c r="E5" s="10">
        <f>IFERROR(INDEX('07_Raw_Balance_Sheet'!$C$5:$G$100,MATCH($A5,'07_Raw_Balance_Sheet'!$A$5:$A$100,0),MATCH(E$4,'07_Raw_Balance_Sheet'!$C$4:$G$4,0)),"")</f>
        <v>2342393</v>
      </c>
      <c r="F5" s="11">
        <f>IFERROR(INDEX('07_Raw_Balance_Sheet'!$C$5:$G$100,MATCH($A5,'07_Raw_Balance_Sheet'!$A$5:$A$100,0),MATCH(F$4,'07_Raw_Balance_Sheet'!$C$4:$G$4,0)),"")</f>
        <v>2396080</v>
      </c>
    </row>
    <row r="6" spans="1:6">
      <c r="A6" t="s">
        <v>260</v>
      </c>
      <c r="B6" s="29">
        <f>IFERROR(INDEX('07_Raw_Balance_Sheet'!$C$5:$G$100,MATCH($A6,'07_Raw_Balance_Sheet'!$A$5:$A$100,0),MATCH(B$4,'07_Raw_Balance_Sheet'!$C$4:$G$4,0)),"")</f>
        <v>61989</v>
      </c>
      <c r="C6" s="9">
        <f>IFERROR(INDEX('07_Raw_Balance_Sheet'!$C$5:$G$100,MATCH($A6,'07_Raw_Balance_Sheet'!$A$5:$A$100,0),MATCH(C$4,'07_Raw_Balance_Sheet'!$C$4:$G$4,0)),"")</f>
        <v>56723</v>
      </c>
      <c r="D6" s="9">
        <f>IFERROR(INDEX('07_Raw_Balance_Sheet'!$C$5:$G$100,MATCH($A6,'07_Raw_Balance_Sheet'!$A$5:$A$100,0),MATCH(D$4,'07_Raw_Balance_Sheet'!$C$4:$G$4,0)),"")</f>
        <v>37024</v>
      </c>
      <c r="E6" s="9">
        <f>IFERROR(INDEX('07_Raw_Balance_Sheet'!$C$5:$G$100,MATCH($A6,'07_Raw_Balance_Sheet'!$A$5:$A$100,0),MATCH(E$4,'07_Raw_Balance_Sheet'!$C$4:$G$4,0)),"")</f>
        <v>46226</v>
      </c>
      <c r="F6" s="12">
        <f>IFERROR(INDEX('07_Raw_Balance_Sheet'!$C$5:$G$100,MATCH($A6,'07_Raw_Balance_Sheet'!$A$5:$A$100,0),MATCH(F$4,'07_Raw_Balance_Sheet'!$C$4:$G$4,0)),"")</f>
        <v>59347</v>
      </c>
    </row>
    <row r="7" spans="1:6">
      <c r="A7" t="s">
        <v>261</v>
      </c>
      <c r="B7" s="29">
        <f>IFERROR(INDEX('07_Raw_Balance_Sheet'!$C$5:$G$100,MATCH($A7,'07_Raw_Balance_Sheet'!$A$5:$A$100,0),MATCH(B$4,'07_Raw_Balance_Sheet'!$C$4:$G$4,0)),"")</f>
        <v>71086</v>
      </c>
      <c r="C7" s="9">
        <f>IFERROR(INDEX('07_Raw_Balance_Sheet'!$C$5:$G$100,MATCH($A7,'07_Raw_Balance_Sheet'!$A$5:$A$100,0),MATCH(C$4,'07_Raw_Balance_Sheet'!$C$4:$G$4,0)),"")</f>
        <v>66020</v>
      </c>
      <c r="D7" s="9">
        <f>IFERROR(INDEX('07_Raw_Balance_Sheet'!$C$5:$G$100,MATCH($A7,'07_Raw_Balance_Sheet'!$A$5:$A$100,0),MATCH(D$4,'07_Raw_Balance_Sheet'!$C$4:$G$4,0)),"")</f>
        <v>50364</v>
      </c>
      <c r="E7" s="9">
        <f>IFERROR(INDEX('07_Raw_Balance_Sheet'!$C$5:$G$100,MATCH($A7,'07_Raw_Balance_Sheet'!$A$5:$A$100,0),MATCH(E$4,'07_Raw_Balance_Sheet'!$C$4:$G$4,0)),"")</f>
        <v>53073</v>
      </c>
      <c r="F7" s="12">
        <f>IFERROR(INDEX('07_Raw_Balance_Sheet'!$C$5:$G$100,MATCH($A7,'07_Raw_Balance_Sheet'!$A$5:$A$100,0),MATCH(F$4,'07_Raw_Balance_Sheet'!$C$4:$G$4,0)),"")</f>
        <v>34146</v>
      </c>
    </row>
    <row r="8" spans="1:6">
      <c r="A8" t="s">
        <v>262</v>
      </c>
      <c r="B8" s="29">
        <f>IFERROR(INDEX('07_Raw_Balance_Sheet'!$C$5:$G$100,MATCH($A8,'07_Raw_Balance_Sheet'!$A$5:$A$100,0),MATCH(B$4,'07_Raw_Balance_Sheet'!$C$4:$G$4,0)),"")</f>
        <v>409730</v>
      </c>
      <c r="C8" s="9">
        <f>IFERROR(INDEX('07_Raw_Balance_Sheet'!$C$5:$G$100,MATCH($A8,'07_Raw_Balance_Sheet'!$A$5:$A$100,0),MATCH(C$4,'07_Raw_Balance_Sheet'!$C$4:$G$4,0)),"")</f>
        <v>439918</v>
      </c>
      <c r="D8" s="9">
        <f>IFERROR(INDEX('07_Raw_Balance_Sheet'!$C$5:$G$100,MATCH($A8,'07_Raw_Balance_Sheet'!$A$5:$A$100,0),MATCH(D$4,'07_Raw_Balance_Sheet'!$C$4:$G$4,0)),"")</f>
        <v>561788</v>
      </c>
      <c r="E8" s="9">
        <f>IFERROR(INDEX('07_Raw_Balance_Sheet'!$C$5:$G$100,MATCH($A8,'07_Raw_Balance_Sheet'!$A$5:$A$100,0),MATCH(E$4,'07_Raw_Balance_Sheet'!$C$4:$G$4,0)),"")</f>
        <v>588966</v>
      </c>
      <c r="F8" s="12">
        <f>IFERROR(INDEX('07_Raw_Balance_Sheet'!$C$5:$G$100,MATCH($A8,'07_Raw_Balance_Sheet'!$A$5:$A$100,0),MATCH(F$4,'07_Raw_Balance_Sheet'!$C$4:$G$4,0)),"")</f>
        <v>612364</v>
      </c>
    </row>
    <row r="9" spans="1:6">
      <c r="A9" t="s">
        <v>263</v>
      </c>
      <c r="B9" s="29">
        <f>IFERROR(INDEX('07_Raw_Balance_Sheet'!$C$5:$G$100,MATCH($A9,'07_Raw_Balance_Sheet'!$A$5:$A$100,0),MATCH(B$4,'07_Raw_Balance_Sheet'!$C$4:$G$4,0)),"")</f>
        <v>857777</v>
      </c>
      <c r="C9" s="9">
        <f>IFERROR(INDEX('07_Raw_Balance_Sheet'!$C$5:$G$100,MATCH($A9,'07_Raw_Balance_Sheet'!$A$5:$A$100,0),MATCH(C$4,'07_Raw_Balance_Sheet'!$C$4:$G$4,0)),"")</f>
        <v>987417</v>
      </c>
      <c r="D9" s="9">
        <f>IFERROR(INDEX('07_Raw_Balance_Sheet'!$C$5:$G$100,MATCH($A9,'07_Raw_Balance_Sheet'!$A$5:$A$100,0),MATCH(D$4,'07_Raw_Balance_Sheet'!$C$4:$G$4,0)),"")</f>
        <v>1049515</v>
      </c>
      <c r="E9" s="9">
        <f>IFERROR(INDEX('07_Raw_Balance_Sheet'!$C$5:$G$100,MATCH($A9,'07_Raw_Balance_Sheet'!$A$5:$A$100,0),MATCH(E$4,'07_Raw_Balance_Sheet'!$C$4:$G$4,0)),"")</f>
        <v>1062282</v>
      </c>
      <c r="F9" s="12">
        <f>IFERROR(INDEX('07_Raw_Balance_Sheet'!$C$5:$G$100,MATCH($A9,'07_Raw_Balance_Sheet'!$A$5:$A$100,0),MATCH(F$4,'07_Raw_Balance_Sheet'!$C$4:$G$4,0)),"")</f>
        <v>1085470</v>
      </c>
    </row>
    <row r="10" spans="1:6">
      <c r="A10" t="s">
        <v>264</v>
      </c>
      <c r="B10" s="29">
        <f>IFERROR(INDEX('07_Raw_Balance_Sheet'!$C$5:$G$100,MATCH($A10,'07_Raw_Balance_Sheet'!$A$5:$A$100,0),MATCH(B$4,'07_Raw_Balance_Sheet'!$C$4:$G$4,0)),"")</f>
        <v>-5004</v>
      </c>
      <c r="C10" s="9">
        <f>IFERROR(INDEX('07_Raw_Balance_Sheet'!$C$5:$G$100,MATCH($A10,'07_Raw_Balance_Sheet'!$A$5:$A$100,0),MATCH(C$4,'07_Raw_Balance_Sheet'!$C$4:$G$4,0)),"")</f>
        <v>-6037</v>
      </c>
      <c r="D10" s="9">
        <f>IFERROR(INDEX('07_Raw_Balance_Sheet'!$C$5:$G$100,MATCH($A10,'07_Raw_Balance_Sheet'!$A$5:$A$100,0),MATCH(D$4,'07_Raw_Balance_Sheet'!$C$4:$G$4,0)),"")</f>
        <v>-7093</v>
      </c>
      <c r="E10" s="9">
        <f>IFERROR(INDEX('07_Raw_Balance_Sheet'!$C$5:$G$100,MATCH($A10,'07_Raw_Balance_Sheet'!$A$5:$A$100,0),MATCH(E$4,'07_Raw_Balance_Sheet'!$C$4:$G$4,0)),"")</f>
        <v>-7401</v>
      </c>
      <c r="F10" s="12">
        <f>IFERROR(INDEX('07_Raw_Balance_Sheet'!$C$5:$G$100,MATCH($A10,'07_Raw_Balance_Sheet'!$A$5:$A$100,0),MATCH(F$4,'07_Raw_Balance_Sheet'!$C$4:$G$4,0)),"")</f>
        <v>-7521</v>
      </c>
    </row>
    <row r="11" spans="1:6">
      <c r="A11" t="s">
        <v>265</v>
      </c>
      <c r="B11" s="29">
        <f>IFERROR(INDEX('07_Raw_Balance_Sheet'!$C$5:$G$100,MATCH($A11,'07_Raw_Balance_Sheet'!$A$5:$A$100,0),MATCH(B$4,'07_Raw_Balance_Sheet'!$C$4:$G$4,0)),"")</f>
        <v>852773</v>
      </c>
      <c r="C11" s="9">
        <f>IFERROR(INDEX('07_Raw_Balance_Sheet'!$C$5:$G$100,MATCH($A11,'07_Raw_Balance_Sheet'!$A$5:$A$100,0),MATCH(C$4,'07_Raw_Balance_Sheet'!$C$4:$G$4,0)),"")</f>
        <v>981380</v>
      </c>
      <c r="D11" s="9">
        <f>IFERROR(INDEX('07_Raw_Balance_Sheet'!$C$5:$G$100,MATCH($A11,'07_Raw_Balance_Sheet'!$A$5:$A$100,0),MATCH(D$4,'07_Raw_Balance_Sheet'!$C$4:$G$4,0)),"")</f>
        <v>1042422</v>
      </c>
      <c r="E11" s="9">
        <f>IFERROR(INDEX('07_Raw_Balance_Sheet'!$C$5:$G$100,MATCH($A11,'07_Raw_Balance_Sheet'!$A$5:$A$100,0),MATCH(E$4,'07_Raw_Balance_Sheet'!$C$4:$G$4,0)),"")</f>
        <v>1054881</v>
      </c>
      <c r="F11" s="12">
        <f>IFERROR(INDEX('07_Raw_Balance_Sheet'!$C$5:$G$100,MATCH($A11,'07_Raw_Balance_Sheet'!$A$5:$A$100,0),MATCH(F$4,'07_Raw_Balance_Sheet'!$C$4:$G$4,0)),"")</f>
        <v>1077949</v>
      </c>
    </row>
    <row r="12" spans="1:6">
      <c r="A12" t="s">
        <v>266</v>
      </c>
      <c r="B12" s="29">
        <f>IFERROR(INDEX('07_Raw_Balance_Sheet'!$C$5:$G$100,MATCH($A12,'07_Raw_Balance_Sheet'!$A$5:$A$100,0),MATCH(B$4,'07_Raw_Balance_Sheet'!$C$4:$G$4,0)),"")</f>
        <v>434501</v>
      </c>
      <c r="C12" s="9">
        <f>IFERROR(INDEX('07_Raw_Balance_Sheet'!$C$5:$G$100,MATCH($A12,'07_Raw_Balance_Sheet'!$A$5:$A$100,0),MATCH(C$4,'07_Raw_Balance_Sheet'!$C$4:$G$4,0)),"")</f>
        <v>477544</v>
      </c>
      <c r="D12" s="9">
        <f>IFERROR(INDEX('07_Raw_Balance_Sheet'!$C$5:$G$100,MATCH($A12,'07_Raw_Balance_Sheet'!$A$5:$A$100,0),MATCH(D$4,'07_Raw_Balance_Sheet'!$C$4:$G$4,0)),"")</f>
        <v>493413</v>
      </c>
      <c r="E12" s="9">
        <f>IFERROR(INDEX('07_Raw_Balance_Sheet'!$C$5:$G$100,MATCH($A12,'07_Raw_Balance_Sheet'!$A$5:$A$100,0),MATCH(E$4,'07_Raw_Balance_Sheet'!$C$4:$G$4,0)),"")</f>
        <v>496529</v>
      </c>
      <c r="F12" s="12">
        <f>IFERROR(INDEX('07_Raw_Balance_Sheet'!$C$5:$G$100,MATCH($A12,'07_Raw_Balance_Sheet'!$A$5:$A$100,0),MATCH(F$4,'07_Raw_Balance_Sheet'!$C$4:$G$4,0)),"")</f>
        <v>500879</v>
      </c>
    </row>
    <row r="13" spans="1:6">
      <c r="A13" t="s">
        <v>267</v>
      </c>
      <c r="B13" s="29">
        <f>IFERROR(INDEX('07_Raw_Balance_Sheet'!$C$5:$G$100,MATCH($A13,'07_Raw_Balance_Sheet'!$A$5:$A$100,0),MATCH(B$4,'07_Raw_Balance_Sheet'!$C$4:$G$4,0)),"")</f>
        <v>98734</v>
      </c>
      <c r="C13" s="9">
        <f>IFERROR(INDEX('07_Raw_Balance_Sheet'!$C$5:$G$100,MATCH($A13,'07_Raw_Balance_Sheet'!$A$5:$A$100,0),MATCH(C$4,'07_Raw_Balance_Sheet'!$C$4:$G$4,0)),"")</f>
        <v>108338</v>
      </c>
      <c r="D13" s="9">
        <f>IFERROR(INDEX('07_Raw_Balance_Sheet'!$C$5:$G$100,MATCH($A13,'07_Raw_Balance_Sheet'!$A$5:$A$100,0),MATCH(D$4,'07_Raw_Balance_Sheet'!$C$4:$G$4,0)),"")</f>
        <v>115345</v>
      </c>
      <c r="E13" s="9">
        <f>IFERROR(INDEX('07_Raw_Balance_Sheet'!$C$5:$G$100,MATCH($A13,'07_Raw_Balance_Sheet'!$A$5:$A$100,0),MATCH(E$4,'07_Raw_Balance_Sheet'!$C$4:$G$4,0)),"")</f>
        <v>115489</v>
      </c>
      <c r="F13" s="12">
        <f>IFERROR(INDEX('07_Raw_Balance_Sheet'!$C$5:$G$100,MATCH($A13,'07_Raw_Balance_Sheet'!$A$5:$A$100,0),MATCH(F$4,'07_Raw_Balance_Sheet'!$C$4:$G$4,0)),"")</f>
        <v>117720</v>
      </c>
    </row>
    <row r="14" spans="1:6">
      <c r="A14" t="s">
        <v>268</v>
      </c>
      <c r="B14" s="29">
        <f>IFERROR(INDEX('07_Raw_Balance_Sheet'!$C$5:$G$100,MATCH($A14,'07_Raw_Balance_Sheet'!$A$5:$A$100,0),MATCH(B$4,'07_Raw_Balance_Sheet'!$C$4:$G$4,0)),"")</f>
        <v>23035</v>
      </c>
      <c r="C14" s="9">
        <f>IFERROR(INDEX('07_Raw_Balance_Sheet'!$C$5:$G$100,MATCH($A14,'07_Raw_Balance_Sheet'!$A$5:$A$100,0),MATCH(C$4,'07_Raw_Balance_Sheet'!$C$4:$G$4,0)),"")</f>
        <v>25565</v>
      </c>
      <c r="D14" s="9">
        <f>IFERROR(INDEX('07_Raw_Balance_Sheet'!$C$5:$G$100,MATCH($A14,'07_Raw_Balance_Sheet'!$A$5:$A$100,0),MATCH(D$4,'07_Raw_Balance_Sheet'!$C$4:$G$4,0)),"")</f>
        <v>26789</v>
      </c>
      <c r="E14" s="9">
        <f>IFERROR(INDEX('07_Raw_Balance_Sheet'!$C$5:$G$100,MATCH($A14,'07_Raw_Balance_Sheet'!$A$5:$A$100,0),MATCH(E$4,'07_Raw_Balance_Sheet'!$C$4:$G$4,0)),"")</f>
        <v>26489</v>
      </c>
      <c r="F14" s="12">
        <f>IFERROR(INDEX('07_Raw_Balance_Sheet'!$C$5:$G$100,MATCH($A14,'07_Raw_Balance_Sheet'!$A$5:$A$100,0),MATCH(F$4,'07_Raw_Balance_Sheet'!$C$4:$G$4,0)),"")</f>
        <v>27702</v>
      </c>
    </row>
    <row r="15" spans="1:6">
      <c r="A15" t="s">
        <v>269</v>
      </c>
      <c r="B15" s="29">
        <f>IFERROR(INDEX('07_Raw_Balance_Sheet'!$C$5:$G$100,MATCH($A15,'07_Raw_Balance_Sheet'!$A$5:$A$100,0),MATCH(B$4,'07_Raw_Balance_Sheet'!$C$4:$G$4,0)),"")</f>
        <v>309571</v>
      </c>
      <c r="C15" s="9">
        <f>IFERROR(INDEX('07_Raw_Balance_Sheet'!$C$5:$G$100,MATCH($A15,'07_Raw_Balance_Sheet'!$A$5:$A$100,0),MATCH(C$4,'07_Raw_Balance_Sheet'!$C$4:$G$4,0)),"")</f>
        <v>360474</v>
      </c>
      <c r="D15" s="9">
        <f>IFERROR(INDEX('07_Raw_Balance_Sheet'!$C$5:$G$100,MATCH($A15,'07_Raw_Balance_Sheet'!$A$5:$A$100,0),MATCH(D$4,'07_Raw_Balance_Sheet'!$C$4:$G$4,0)),"")</f>
        <v>397190</v>
      </c>
      <c r="E15" s="9">
        <f>IFERROR(INDEX('07_Raw_Balance_Sheet'!$C$5:$G$100,MATCH($A15,'07_Raw_Balance_Sheet'!$A$5:$A$100,0),MATCH(E$4,'07_Raw_Balance_Sheet'!$C$4:$G$4,0)),"")</f>
        <v>406864</v>
      </c>
      <c r="F15" s="12">
        <f>IFERROR(INDEX('07_Raw_Balance_Sheet'!$C$5:$G$100,MATCH($A15,'07_Raw_Balance_Sheet'!$A$5:$A$100,0),MATCH(F$4,'07_Raw_Balance_Sheet'!$C$4:$G$4,0)),"")</f>
        <v>422154</v>
      </c>
    </row>
    <row r="16" spans="1:6">
      <c r="A16" t="s">
        <v>270</v>
      </c>
      <c r="B16" s="29">
        <f>IFERROR(INDEX('07_Raw_Balance_Sheet'!$C$5:$G$100,MATCH($A16,'07_Raw_Balance_Sheet'!$A$5:$A$100,0),MATCH(B$4,'07_Raw_Balance_Sheet'!$C$4:$G$4,0)),"")</f>
        <v>81371</v>
      </c>
      <c r="C16" s="9">
        <f>IFERROR(INDEX('07_Raw_Balance_Sheet'!$C$5:$G$100,MATCH($A16,'07_Raw_Balance_Sheet'!$A$5:$A$100,0),MATCH(C$4,'07_Raw_Balance_Sheet'!$C$4:$G$4,0)),"")</f>
        <v>92190</v>
      </c>
      <c r="D16" s="9">
        <f>IFERROR(INDEX('07_Raw_Balance_Sheet'!$C$5:$G$100,MATCH($A16,'07_Raw_Balance_Sheet'!$A$5:$A$100,0),MATCH(D$4,'07_Raw_Balance_Sheet'!$C$4:$G$4,0)),"")</f>
        <v>112893</v>
      </c>
      <c r="E16" s="9">
        <f>IFERROR(INDEX('07_Raw_Balance_Sheet'!$C$5:$G$100,MATCH($A16,'07_Raw_Balance_Sheet'!$A$5:$A$100,0),MATCH(E$4,'07_Raw_Balance_Sheet'!$C$4:$G$4,0)),"")</f>
        <v>115296</v>
      </c>
      <c r="F16" s="12">
        <f>IFERROR(INDEX('07_Raw_Balance_Sheet'!$C$5:$G$100,MATCH($A16,'07_Raw_Balance_Sheet'!$A$5:$A$100,0),MATCH(F$4,'07_Raw_Balance_Sheet'!$C$4:$G$4,0)),"")</f>
        <v>111841</v>
      </c>
    </row>
    <row r="17" spans="1:6">
      <c r="A17" t="s">
        <v>271</v>
      </c>
      <c r="B17" s="29">
        <f>IFERROR(INDEX('07_Raw_Balance_Sheet'!$C$5:$G$100,MATCH($A17,'07_Raw_Balance_Sheet'!$A$5:$A$100,0),MATCH(B$4,'07_Raw_Balance_Sheet'!$C$4:$G$4,0)),"")</f>
        <v>1231687</v>
      </c>
      <c r="C17" s="9">
        <f>IFERROR(INDEX('07_Raw_Balance_Sheet'!$C$5:$G$100,MATCH($A17,'07_Raw_Balance_Sheet'!$A$5:$A$100,0),MATCH(C$4,'07_Raw_Balance_Sheet'!$C$4:$G$4,0)),"")</f>
        <v>1409531</v>
      </c>
      <c r="D17" s="9">
        <f>IFERROR(INDEX('07_Raw_Balance_Sheet'!$C$5:$G$100,MATCH($A17,'07_Raw_Balance_Sheet'!$A$5:$A$100,0),MATCH(D$4,'07_Raw_Balance_Sheet'!$C$4:$G$4,0)),"")</f>
        <v>1515616</v>
      </c>
      <c r="E17" s="9">
        <f>IFERROR(INDEX('07_Raw_Balance_Sheet'!$C$5:$G$100,MATCH($A17,'07_Raw_Balance_Sheet'!$A$5:$A$100,0),MATCH(E$4,'07_Raw_Balance_Sheet'!$C$4:$G$4,0)),"")</f>
        <v>1542216</v>
      </c>
      <c r="F17" s="12">
        <f>IFERROR(INDEX('07_Raw_Balance_Sheet'!$C$5:$G$100,MATCH($A17,'07_Raw_Balance_Sheet'!$A$5:$A$100,0),MATCH(F$4,'07_Raw_Balance_Sheet'!$C$4:$G$4,0)),"")</f>
        <v>1581546</v>
      </c>
    </row>
    <row r="18" spans="1:6">
      <c r="A18" t="s">
        <v>272</v>
      </c>
      <c r="B18" s="29">
        <f>IFERROR(INDEX('07_Raw_Balance_Sheet'!$C$5:$G$100,MATCH($A18,'07_Raw_Balance_Sheet'!$A$5:$A$100,0),MATCH(B$4,'07_Raw_Balance_Sheet'!$C$4:$G$4,0)),"")</f>
        <v>441946</v>
      </c>
      <c r="C18" s="9">
        <f>IFERROR(INDEX('07_Raw_Balance_Sheet'!$C$5:$G$100,MATCH($A18,'07_Raw_Balance_Sheet'!$A$5:$A$100,0),MATCH(C$4,'07_Raw_Balance_Sheet'!$C$4:$G$4,0)),"")</f>
        <v>522139</v>
      </c>
      <c r="D18" s="9">
        <f>IFERROR(INDEX('07_Raw_Balance_Sheet'!$C$5:$G$100,MATCH($A18,'07_Raw_Balance_Sheet'!$A$5:$A$100,0),MATCH(D$4,'07_Raw_Balance_Sheet'!$C$4:$G$4,0)),"")</f>
        <v>529740</v>
      </c>
      <c r="E18" s="9">
        <f>IFERROR(INDEX('07_Raw_Balance_Sheet'!$C$5:$G$100,MATCH($A18,'07_Raw_Balance_Sheet'!$A$5:$A$100,0),MATCH(E$4,'07_Raw_Balance_Sheet'!$C$4:$G$4,0)),"")</f>
        <v>530313</v>
      </c>
      <c r="F18" s="12">
        <f>IFERROR(INDEX('07_Raw_Balance_Sheet'!$C$5:$G$100,MATCH($A18,'07_Raw_Balance_Sheet'!$A$5:$A$100,0),MATCH(F$4,'07_Raw_Balance_Sheet'!$C$4:$G$4,0)),"")</f>
        <v>532736</v>
      </c>
    </row>
    <row r="19" spans="1:6">
      <c r="A19" t="s">
        <v>273</v>
      </c>
      <c r="B19" s="29">
        <f>IFERROR(INDEX('07_Raw_Balance_Sheet'!$C$5:$G$100,MATCH($A19,'07_Raw_Balance_Sheet'!$A$5:$A$100,0),MATCH(B$4,'07_Raw_Balance_Sheet'!$C$4:$G$4,0)),"")</f>
        <v>745075</v>
      </c>
      <c r="C19" s="9">
        <f>IFERROR(INDEX('07_Raw_Balance_Sheet'!$C$5:$G$100,MATCH($A19,'07_Raw_Balance_Sheet'!$A$5:$A$100,0),MATCH(C$4,'07_Raw_Balance_Sheet'!$C$4:$G$4,0)),"")</f>
        <v>839670</v>
      </c>
      <c r="D19" s="9">
        <f>IFERROR(INDEX('07_Raw_Balance_Sheet'!$C$5:$G$100,MATCH($A19,'07_Raw_Balance_Sheet'!$A$5:$A$100,0),MATCH(D$4,'07_Raw_Balance_Sheet'!$C$4:$G$4,0)),"")</f>
        <v>946314</v>
      </c>
      <c r="E19" s="9">
        <f>IFERROR(INDEX('07_Raw_Balance_Sheet'!$C$5:$G$100,MATCH($A19,'07_Raw_Balance_Sheet'!$A$5:$A$100,0),MATCH(E$4,'07_Raw_Balance_Sheet'!$C$4:$G$4,0)),"")</f>
        <v>949378</v>
      </c>
      <c r="F19" s="12">
        <f>IFERROR(INDEX('07_Raw_Balance_Sheet'!$C$5:$G$100,MATCH($A19,'07_Raw_Balance_Sheet'!$A$5:$A$100,0),MATCH(F$4,'07_Raw_Balance_Sheet'!$C$4:$G$4,0)),"")</f>
        <v>984990</v>
      </c>
    </row>
    <row r="20" spans="1:6">
      <c r="A20" t="s">
        <v>274</v>
      </c>
      <c r="B20" s="20">
        <f>IFERROR(INDEX('07_Raw_Balance_Sheet'!$C$5:$G$100,MATCH($A20,'07_Raw_Balance_Sheet'!$A$5:$A$100,0),MATCH(B$4,'07_Raw_Balance_Sheet'!$C$4:$G$4,0)),"")</f>
        <v>44666</v>
      </c>
      <c r="C20" s="21">
        <f>IFERROR(INDEX('07_Raw_Balance_Sheet'!$C$5:$G$100,MATCH($A20,'07_Raw_Balance_Sheet'!$A$5:$A$100,0),MATCH(C$4,'07_Raw_Balance_Sheet'!$C$4:$G$4,0)),"")</f>
        <v>47722</v>
      </c>
      <c r="D20" s="21">
        <f>IFERROR(INDEX('07_Raw_Balance_Sheet'!$C$5:$G$100,MATCH($A20,'07_Raw_Balance_Sheet'!$A$5:$A$100,0),MATCH(D$4,'07_Raw_Balance_Sheet'!$C$4:$G$4,0)),"")</f>
        <v>39562</v>
      </c>
      <c r="E20" s="21">
        <f>IFERROR(INDEX('07_Raw_Balance_Sheet'!$C$5:$G$100,MATCH($A20,'07_Raw_Balance_Sheet'!$A$5:$A$100,0),MATCH(E$4,'07_Raw_Balance_Sheet'!$C$4:$G$4,0)),"")</f>
        <v>62525</v>
      </c>
      <c r="F20" s="22">
        <f>IFERROR(INDEX('07_Raw_Balance_Sheet'!$C$5:$G$100,MATCH($A20,'07_Raw_Balance_Sheet'!$A$5:$A$100,0),MATCH(F$4,'07_Raw_Balance_Sheet'!$C$4:$G$4,0)),"")</f>
        <v>63820</v>
      </c>
    </row>
    <row r="21" spans="1:6">
      <c r="A21" t="s">
        <v>275</v>
      </c>
      <c r="B21" s="29">
        <f>IFERROR(INDEX('07_Raw_Balance_Sheet'!$C$5:$G$100,MATCH($A21,'07_Raw_Balance_Sheet'!$A$5:$A$100,0),MATCH(B$4,'07_Raw_Balance_Sheet'!$C$4:$G$4,0)),"")</f>
        <v>96022</v>
      </c>
      <c r="C21" s="9">
        <f>IFERROR(INDEX('07_Raw_Balance_Sheet'!$C$5:$G$100,MATCH($A21,'07_Raw_Balance_Sheet'!$A$5:$A$100,0),MATCH(C$4,'07_Raw_Balance_Sheet'!$C$4:$G$4,0)),"")</f>
        <v>94712</v>
      </c>
      <c r="D21" s="9">
        <f>IFERROR(INDEX('07_Raw_Balance_Sheet'!$C$5:$G$100,MATCH($A21,'07_Raw_Balance_Sheet'!$A$5:$A$100,0),MATCH(D$4,'07_Raw_Balance_Sheet'!$C$4:$G$4,0)),"")</f>
        <v>108591</v>
      </c>
      <c r="E21" s="9">
        <f>IFERROR(INDEX('07_Raw_Balance_Sheet'!$C$5:$G$100,MATCH($A21,'07_Raw_Balance_Sheet'!$A$5:$A$100,0),MATCH(E$4,'07_Raw_Balance_Sheet'!$C$4:$G$4,0)),"")</f>
        <v>117389</v>
      </c>
      <c r="F21" s="12">
        <f>IFERROR(INDEX('07_Raw_Balance_Sheet'!$C$5:$G$100,MATCH($A21,'07_Raw_Balance_Sheet'!$A$5:$A$100,0),MATCH(F$4,'07_Raw_Balance_Sheet'!$C$4:$G$4,0)),"")</f>
        <v>108851</v>
      </c>
    </row>
    <row r="22" spans="1:6">
      <c r="A22" t="s">
        <v>276</v>
      </c>
      <c r="B22" s="29">
        <f>IFERROR(INDEX('07_Raw_Balance_Sheet'!$C$5:$G$100,MATCH($A22,'07_Raw_Balance_Sheet'!$A$5:$A$100,0),MATCH(B$4,'07_Raw_Balance_Sheet'!$C$4:$G$4,0)),"")</f>
        <v>11386</v>
      </c>
      <c r="C22" s="9">
        <f>IFERROR(INDEX('07_Raw_Balance_Sheet'!$C$5:$G$100,MATCH($A22,'07_Raw_Balance_Sheet'!$A$5:$A$100,0),MATCH(C$4,'07_Raw_Balance_Sheet'!$C$4:$G$4,0)),"")</f>
        <v>13546</v>
      </c>
      <c r="D22" s="9">
        <f>IFERROR(INDEX('07_Raw_Balance_Sheet'!$C$5:$G$100,MATCH($A22,'07_Raw_Balance_Sheet'!$A$5:$A$100,0),MATCH(D$4,'07_Raw_Balance_Sheet'!$C$4:$G$4,0)),"")</f>
        <v>13961</v>
      </c>
      <c r="E22" s="9">
        <f>IFERROR(INDEX('07_Raw_Balance_Sheet'!$C$5:$G$100,MATCH($A22,'07_Raw_Balance_Sheet'!$A$5:$A$100,0),MATCH(E$4,'07_Raw_Balance_Sheet'!$C$4:$G$4,0)),"")</f>
        <v>11875</v>
      </c>
      <c r="F22" s="12">
        <f>IFERROR(INDEX('07_Raw_Balance_Sheet'!$C$5:$G$100,MATCH($A22,'07_Raw_Balance_Sheet'!$A$5:$A$100,0),MATCH(F$4,'07_Raw_Balance_Sheet'!$C$4:$G$4,0)),"")</f>
        <v>13498</v>
      </c>
    </row>
    <row r="23" spans="1:6">
      <c r="A23" t="s">
        <v>277</v>
      </c>
      <c r="B23" s="29">
        <f>IFERROR(INDEX('07_Raw_Balance_Sheet'!$C$5:$G$100,MATCH($A23,'07_Raw_Balance_Sheet'!$A$5:$A$100,0),MATCH(B$4,'07_Raw_Balance_Sheet'!$C$4:$G$4,0)),"")</f>
        <v>107734</v>
      </c>
      <c r="C23" s="9">
        <f>IFERROR(INDEX('07_Raw_Balance_Sheet'!$C$5:$G$100,MATCH($A23,'07_Raw_Balance_Sheet'!$A$5:$A$100,0),MATCH(C$4,'07_Raw_Balance_Sheet'!$C$4:$G$4,0)),"")</f>
        <v>118058</v>
      </c>
      <c r="D23" s="9">
        <f>IFERROR(INDEX('07_Raw_Balance_Sheet'!$C$5:$G$100,MATCH($A23,'07_Raw_Balance_Sheet'!$A$5:$A$100,0),MATCH(D$4,'07_Raw_Balance_Sheet'!$C$4:$G$4,0)),"")</f>
        <v>127417</v>
      </c>
      <c r="E23" s="9">
        <f>IFERROR(INDEX('07_Raw_Balance_Sheet'!$C$5:$G$100,MATCH($A23,'07_Raw_Balance_Sheet'!$A$5:$A$100,0),MATCH(E$4,'07_Raw_Balance_Sheet'!$C$4:$G$4,0)),"")</f>
        <v>128670</v>
      </c>
      <c r="F23" s="12">
        <f>IFERROR(INDEX('07_Raw_Balance_Sheet'!$C$5:$G$100,MATCH($A23,'07_Raw_Balance_Sheet'!$A$5:$A$100,0),MATCH(F$4,'07_Raw_Balance_Sheet'!$C$4:$G$4,0)),"")</f>
        <v>129579</v>
      </c>
    </row>
    <row r="24" spans="1:6">
      <c r="A24" t="s">
        <v>278</v>
      </c>
      <c r="B24" s="29">
        <f>IFERROR(INDEX('07_Raw_Balance_Sheet'!$C$5:$G$100,MATCH($A24,'07_Raw_Balance_Sheet'!$A$5:$A$100,0),MATCH(B$4,'07_Raw_Balance_Sheet'!$C$4:$G$4,0)),"")</f>
        <v>115147</v>
      </c>
      <c r="C24" s="9">
        <f>IFERROR(INDEX('07_Raw_Balance_Sheet'!$C$5:$G$100,MATCH($A24,'07_Raw_Balance_Sheet'!$A$5:$A$100,0),MATCH(C$4,'07_Raw_Balance_Sheet'!$C$4:$G$4,0)),"")</f>
        <v>127192</v>
      </c>
      <c r="D24" s="9">
        <f>IFERROR(INDEX('07_Raw_Balance_Sheet'!$C$5:$G$100,MATCH($A24,'07_Raw_Balance_Sheet'!$A$5:$A$100,0),MATCH(D$4,'07_Raw_Balance_Sheet'!$C$4:$G$4,0)),"")</f>
        <v>139151</v>
      </c>
      <c r="E24" s="9">
        <f>IFERROR(INDEX('07_Raw_Balance_Sheet'!$C$5:$G$100,MATCH($A24,'07_Raw_Balance_Sheet'!$A$5:$A$100,0),MATCH(E$4,'07_Raw_Balance_Sheet'!$C$4:$G$4,0)),"")</f>
        <v>139858</v>
      </c>
      <c r="F24" s="12">
        <f>IFERROR(INDEX('07_Raw_Balance_Sheet'!$C$5:$G$100,MATCH($A24,'07_Raw_Balance_Sheet'!$A$5:$A$100,0),MATCH(F$4,'07_Raw_Balance_Sheet'!$C$4:$G$4,0)),"")</f>
        <v>140773</v>
      </c>
    </row>
    <row r="25" spans="1:6">
      <c r="A25" t="s">
        <v>279</v>
      </c>
      <c r="B25" s="20">
        <f>IFERROR(INDEX('07_Raw_Balance_Sheet'!$C$5:$G$100,MATCH($A25,'07_Raw_Balance_Sheet'!$A$5:$A$100,0),MATCH(B$4,'07_Raw_Balance_Sheet'!$C$4:$G$4,0)),"")</f>
        <v>879522</v>
      </c>
      <c r="C25" s="21">
        <f>IFERROR(INDEX('07_Raw_Balance_Sheet'!$C$5:$G$100,MATCH($A25,'07_Raw_Balance_Sheet'!$A$5:$A$100,0),MATCH(C$4,'07_Raw_Balance_Sheet'!$C$4:$G$4,0)),"")</f>
        <v>987452</v>
      </c>
      <c r="D25" s="21">
        <f>IFERROR(INDEX('07_Raw_Balance_Sheet'!$C$5:$G$100,MATCH($A25,'07_Raw_Balance_Sheet'!$A$5:$A$100,0),MATCH(D$4,'07_Raw_Balance_Sheet'!$C$4:$G$4,0)),"")</f>
        <v>1049534</v>
      </c>
      <c r="E25" s="21">
        <f>IFERROR(INDEX('07_Raw_Balance_Sheet'!$C$5:$G$100,MATCH($A25,'07_Raw_Balance_Sheet'!$A$5:$A$100,0),MATCH(E$4,'07_Raw_Balance_Sheet'!$C$4:$G$4,0)),"")</f>
        <v>1062298</v>
      </c>
      <c r="F25" s="22">
        <f>IFERROR(INDEX('07_Raw_Balance_Sheet'!$C$5:$G$100,MATCH($A25,'07_Raw_Balance_Sheet'!$A$5:$A$100,0),MATCH(F$4,'07_Raw_Balance_Sheet'!$C$4:$G$4,0)),"")</f>
        <v>1085510</v>
      </c>
    </row>
  </sheetData>
  <mergeCells count="1">
    <mergeCell ref="A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7"/>
  <sheetViews>
    <sheetView workbookViewId="0"/>
  </sheetViews>
  <sheetFormatPr defaultRowHeight="14.25"/>
  <cols>
    <col min="1" max="1" width="42" customWidth="1"/>
    <col min="2" max="6" width="14" customWidth="1"/>
  </cols>
  <sheetData>
    <row r="1" spans="1:6" ht="30" customHeight="1">
      <c r="A1" s="145" t="s">
        <v>323</v>
      </c>
      <c r="B1" s="145"/>
      <c r="C1" s="145"/>
      <c r="D1" s="145"/>
      <c r="E1" s="145"/>
      <c r="F1" s="145"/>
    </row>
    <row r="2" spans="1:6" ht="30" customHeight="1">
      <c r="A2" s="145"/>
      <c r="B2" s="145"/>
      <c r="C2" s="145"/>
      <c r="D2" s="145"/>
      <c r="E2" s="145"/>
      <c r="F2" s="145"/>
    </row>
    <row r="4" spans="1:6" ht="15">
      <c r="A4" s="59" t="s">
        <v>217</v>
      </c>
      <c r="B4" s="60" t="s">
        <v>219</v>
      </c>
      <c r="C4" s="60" t="s">
        <v>220</v>
      </c>
      <c r="D4" s="60" t="s">
        <v>105</v>
      </c>
      <c r="E4" s="60" t="s">
        <v>252</v>
      </c>
      <c r="F4" s="61" t="s">
        <v>123</v>
      </c>
    </row>
    <row r="5" spans="1:6">
      <c r="A5" t="s">
        <v>281</v>
      </c>
      <c r="B5" s="28">
        <f>IFERROR(INDEX('08_Raw_Credit_Quality'!$C$5:$G$100,MATCH($A5,'08_Raw_Credit_Quality'!$A$5:$A$100,0),MATCH(B$4,'08_Raw_Credit_Quality'!$C$4:$G$4,0)),"")</f>
        <v>2468</v>
      </c>
      <c r="C5" s="10">
        <f>IFERROR(INDEX('08_Raw_Credit_Quality'!$C$5:$G$100,MATCH($A5,'08_Raw_Credit_Quality'!$A$5:$A$100,0),MATCH(C$4,'08_Raw_Credit_Quality'!$C$4:$G$4,0)),"")</f>
        <v>3232</v>
      </c>
      <c r="D5" s="10">
        <f>IFERROR(INDEX('08_Raw_Credit_Quality'!$C$5:$G$100,MATCH($A5,'08_Raw_Credit_Quality'!$A$5:$A$100,0),MATCH(D$4,'08_Raw_Credit_Quality'!$C$4:$G$4,0)),"")</f>
        <v>4362</v>
      </c>
      <c r="E5" s="10">
        <f>IFERROR(INDEX('08_Raw_Credit_Quality'!$C$5:$G$100,MATCH($A5,'08_Raw_Credit_Quality'!$A$5:$A$100,0),MATCH(E$4,'08_Raw_Credit_Quality'!$C$4:$G$4,0)),"")</f>
        <v>1090</v>
      </c>
      <c r="F5" s="11">
        <f>IFERROR(INDEX('08_Raw_Credit_Quality'!$C$5:$G$100,MATCH($A5,'08_Raw_Credit_Quality'!$A$5:$A$100,0),MATCH(F$4,'08_Raw_Credit_Quality'!$C$4:$G$4,0)),"")</f>
        <v>912</v>
      </c>
    </row>
    <row r="6" spans="1:6">
      <c r="A6" t="s">
        <v>284</v>
      </c>
      <c r="B6" s="29">
        <f>IFERROR(INDEX('08_Raw_Credit_Quality'!$C$5:$G$100,MATCH($A6,'08_Raw_Credit_Quality'!$A$5:$A$100,0),MATCH(B$4,'08_Raw_Credit_Quality'!$C$4:$G$4,0)),"")</f>
        <v>660</v>
      </c>
      <c r="C6" s="9">
        <f>IFERROR(INDEX('08_Raw_Credit_Quality'!$C$5:$G$100,MATCH($A6,'08_Raw_Credit_Quality'!$A$5:$A$100,0),MATCH(C$4,'08_Raw_Credit_Quality'!$C$4:$G$4,0)),"")</f>
        <v>627</v>
      </c>
      <c r="D6" s="9">
        <f>IFERROR(INDEX('08_Raw_Credit_Quality'!$C$5:$G$100,MATCH($A6,'08_Raw_Credit_Quality'!$A$5:$A$100,0),MATCH(D$4,'08_Raw_Credit_Quality'!$C$4:$G$4,0)),"")</f>
        <v>622</v>
      </c>
      <c r="E6" s="9">
        <f>IFERROR(INDEX('08_Raw_Credit_Quality'!$C$5:$G$100,MATCH($A6,'08_Raw_Credit_Quality'!$A$5:$A$100,0),MATCH(E$4,'08_Raw_Credit_Quality'!$C$4:$G$4,0)),"")</f>
        <v>28</v>
      </c>
      <c r="F6" s="12">
        <f>IFERROR(INDEX('08_Raw_Credit_Quality'!$C$5:$G$100,MATCH($A6,'08_Raw_Credit_Quality'!$A$5:$A$100,0),MATCH(F$4,'08_Raw_Credit_Quality'!$C$4:$G$4,0)),"")</f>
        <v>18</v>
      </c>
    </row>
    <row r="7" spans="1:6">
      <c r="A7" t="s">
        <v>285</v>
      </c>
      <c r="B7" s="29">
        <f>IFERROR(INDEX('08_Raw_Credit_Quality'!$C$5:$G$100,MATCH($A7,'08_Raw_Credit_Quality'!$A$5:$A$100,0),MATCH(B$4,'08_Raw_Credit_Quality'!$C$4:$G$4,0)),"")</f>
        <v>1836</v>
      </c>
      <c r="C7" s="9">
        <f>IFERROR(INDEX('08_Raw_Credit_Quality'!$C$5:$G$100,MATCH($A7,'08_Raw_Credit_Quality'!$A$5:$A$100,0),MATCH(C$4,'08_Raw_Credit_Quality'!$C$4:$G$4,0)),"")</f>
        <v>2620</v>
      </c>
      <c r="D7" s="9">
        <f>IFERROR(INDEX('08_Raw_Credit_Quality'!$C$5:$G$100,MATCH($A7,'08_Raw_Credit_Quality'!$A$5:$A$100,0),MATCH(D$4,'08_Raw_Credit_Quality'!$C$4:$G$4,0)),"")</f>
        <v>3734</v>
      </c>
      <c r="E7" s="9">
        <f>IFERROR(INDEX('08_Raw_Credit_Quality'!$C$5:$G$100,MATCH($A7,'08_Raw_Credit_Quality'!$A$5:$A$100,0),MATCH(E$4,'08_Raw_Credit_Quality'!$C$4:$G$4,0)),"")</f>
        <v>1068</v>
      </c>
      <c r="F7" s="12">
        <f>IFERROR(INDEX('08_Raw_Credit_Quality'!$C$5:$G$100,MATCH($A7,'08_Raw_Credit_Quality'!$A$5:$A$100,0),MATCH(F$4,'08_Raw_Credit_Quality'!$C$4:$G$4,0)),"")</f>
        <v>899</v>
      </c>
    </row>
    <row r="8" spans="1:6">
      <c r="A8" t="s">
        <v>286</v>
      </c>
      <c r="B8" s="31">
        <f>IFERROR(INDEX('08_Raw_Credit_Quality'!$C$5:$G$100,MATCH($A8,'08_Raw_Credit_Quality'!$A$5:$A$100,0),MATCH(B$4,'08_Raw_Credit_Quality'!$C$4:$G$4,0)),"")</f>
        <v>2.8999999999999998E-3</v>
      </c>
      <c r="C8" s="15">
        <f>IFERROR(INDEX('08_Raw_Credit_Quality'!$C$5:$G$100,MATCH($A8,'08_Raw_Credit_Quality'!$A$5:$A$100,0),MATCH(C$4,'08_Raw_Credit_Quality'!$C$4:$G$4,0)),"")</f>
        <v>3.5000000000000001E-3</v>
      </c>
      <c r="D8" s="15">
        <f>IFERROR(INDEX('08_Raw_Credit_Quality'!$C$5:$G$100,MATCH($A8,'08_Raw_Credit_Quality'!$A$5:$A$100,0),MATCH(D$4,'08_Raw_Credit_Quality'!$C$4:$G$4,0)),"")</f>
        <v>4.3E-3</v>
      </c>
      <c r="E8" s="15">
        <f>IFERROR(INDEX('08_Raw_Credit_Quality'!$C$5:$G$100,MATCH($A8,'08_Raw_Credit_Quality'!$A$5:$A$100,0),MATCH(E$4,'08_Raw_Credit_Quality'!$C$4:$G$4,0)),"")</f>
        <v>4.1000000000000003E-3</v>
      </c>
      <c r="F8" s="16">
        <f>IFERROR(INDEX('08_Raw_Credit_Quality'!$C$5:$G$100,MATCH($A8,'08_Raw_Credit_Quality'!$A$5:$A$100,0),MATCH(F$4,'08_Raw_Credit_Quality'!$C$4:$G$4,0)),"")</f>
        <v>3.5000000000000001E-3</v>
      </c>
    </row>
    <row r="9" spans="1:6">
      <c r="A9" t="s">
        <v>169</v>
      </c>
      <c r="B9" s="29">
        <f>IFERROR(INDEX('08_Raw_Credit_Quality'!$C$5:$G$100,MATCH($A9,'08_Raw_Credit_Quality'!$A$5:$A$100,0),MATCH(B$4,'08_Raw_Credit_Quality'!$C$4:$G$4,0)),"")</f>
        <v>3704</v>
      </c>
      <c r="C9" s="9">
        <f>IFERROR(INDEX('08_Raw_Credit_Quality'!$C$5:$G$100,MATCH($A9,'08_Raw_Credit_Quality'!$A$5:$A$100,0),MATCH(C$4,'08_Raw_Credit_Quality'!$C$4:$G$4,0)),"")</f>
        <v>5867</v>
      </c>
      <c r="D9" s="9">
        <f>IFERROR(INDEX('08_Raw_Credit_Quality'!$C$5:$G$100,MATCH($A9,'08_Raw_Credit_Quality'!$A$5:$A$100,0),MATCH(D$4,'08_Raw_Credit_Quality'!$C$4:$G$4,0)),"")</f>
        <v>8682</v>
      </c>
      <c r="E9" s="9">
        <f>IFERROR(INDEX('08_Raw_Credit_Quality'!$C$5:$G$100,MATCH($A9,'08_Raw_Credit_Quality'!$A$5:$A$100,0),MATCH(E$4,'08_Raw_Credit_Quality'!$C$4:$G$4,0)),"")</f>
        <v>9167</v>
      </c>
      <c r="F9" s="12">
        <f>IFERROR(INDEX('08_Raw_Credit_Quality'!$C$5:$G$100,MATCH($A9,'08_Raw_Credit_Quality'!$A$5:$A$100,0),MATCH(F$4,'08_Raw_Credit_Quality'!$C$4:$G$4,0)),"")</f>
        <v>9790</v>
      </c>
    </row>
    <row r="10" spans="1:6">
      <c r="A10" t="s">
        <v>288</v>
      </c>
      <c r="B10" s="31">
        <f>IFERROR(INDEX('08_Raw_Credit_Quality'!$C$5:$G$100,MATCH($A10,'08_Raw_Credit_Quality'!$A$5:$A$100,0),MATCH(B$4,'08_Raw_Credit_Quality'!$C$4:$G$4,0)),"")</f>
        <v>4.1999999999999997E-3</v>
      </c>
      <c r="C10" s="15">
        <f>IFERROR(INDEX('08_Raw_Credit_Quality'!$C$5:$G$100,MATCH($A10,'08_Raw_Credit_Quality'!$A$5:$A$100,0),MATCH(C$4,'08_Raw_Credit_Quality'!$C$4:$G$4,0)),"")</f>
        <v>5.8999999999999999E-3</v>
      </c>
      <c r="D10" s="15">
        <f>IFERROR(INDEX('08_Raw_Credit_Quality'!$C$5:$G$100,MATCH($A10,'08_Raw_Credit_Quality'!$A$5:$A$100,0),MATCH(D$4,'08_Raw_Credit_Quality'!$C$4:$G$4,0)),"")</f>
        <v>8.3000000000000001E-3</v>
      </c>
      <c r="E10" s="15">
        <f>IFERROR(INDEX('08_Raw_Credit_Quality'!$C$5:$G$100,MATCH($A10,'08_Raw_Credit_Quality'!$A$5:$A$100,0),MATCH(E$4,'08_Raw_Credit_Quality'!$C$4:$G$4,0)),"")</f>
        <v>8.6E-3</v>
      </c>
      <c r="F10" s="16">
        <f>IFERROR(INDEX('08_Raw_Credit_Quality'!$C$5:$G$100,MATCH($A10,'08_Raw_Credit_Quality'!$A$5:$A$100,0),MATCH(F$4,'08_Raw_Credit_Quality'!$C$4:$G$4,0)),"")</f>
        <v>8.9999999999999993E-3</v>
      </c>
    </row>
    <row r="11" spans="1:6">
      <c r="A11" t="s">
        <v>165</v>
      </c>
      <c r="B11" s="29">
        <f>IFERROR(INDEX('08_Raw_Credit_Quality'!$C$5:$G$100,MATCH($A11,'08_Raw_Credit_Quality'!$A$5:$A$100,0),MATCH(B$4,'08_Raw_Credit_Quality'!$C$4:$G$4,0)),"")</f>
        <v>5366</v>
      </c>
      <c r="C11" s="9">
        <f>IFERROR(INDEX('08_Raw_Credit_Quality'!$C$5:$G$100,MATCH($A11,'08_Raw_Credit_Quality'!$A$5:$A$100,0),MATCH(C$4,'08_Raw_Credit_Quality'!$C$4:$G$4,0)),"")</f>
        <v>6364</v>
      </c>
      <c r="D11" s="9">
        <f>IFERROR(INDEX('08_Raw_Credit_Quality'!$C$5:$G$100,MATCH($A11,'08_Raw_Credit_Quality'!$A$5:$A$100,0),MATCH(D$4,'08_Raw_Credit_Quality'!$C$4:$G$4,0)),"")</f>
        <v>7470</v>
      </c>
      <c r="E11" s="9">
        <f>IFERROR(INDEX('08_Raw_Credit_Quality'!$C$5:$G$100,MATCH($A11,'08_Raw_Credit_Quality'!$A$5:$A$100,0),MATCH(E$4,'08_Raw_Credit_Quality'!$C$4:$G$4,0)),"")</f>
        <v>7767</v>
      </c>
      <c r="F11" s="12">
        <f>IFERROR(INDEX('08_Raw_Credit_Quality'!$C$5:$G$100,MATCH($A11,'08_Raw_Credit_Quality'!$A$5:$A$100,0),MATCH(F$4,'08_Raw_Credit_Quality'!$C$4:$G$4,0)),"")</f>
        <v>7819</v>
      </c>
    </row>
    <row r="12" spans="1:6">
      <c r="A12" t="s">
        <v>289</v>
      </c>
      <c r="B12" s="29">
        <f>IFERROR(INDEX('08_Raw_Credit_Quality'!$C$5:$G$100,MATCH($A12,'08_Raw_Credit_Quality'!$A$5:$A$100,0),MATCH(B$4,'08_Raw_Credit_Quality'!$C$4:$G$4,0)),"")</f>
        <v>4200</v>
      </c>
      <c r="C12" s="9">
        <f>IFERROR(INDEX('08_Raw_Credit_Quality'!$C$5:$G$100,MATCH($A12,'08_Raw_Credit_Quality'!$A$5:$A$100,0),MATCH(C$4,'08_Raw_Credit_Quality'!$C$4:$G$4,0)),"")</f>
        <v>4836</v>
      </c>
      <c r="D12" s="9">
        <f>IFERROR(INDEX('08_Raw_Credit_Quality'!$C$5:$G$100,MATCH($A12,'08_Raw_Credit_Quality'!$A$5:$A$100,0),MATCH(D$4,'08_Raw_Credit_Quality'!$C$4:$G$4,0)),"")</f>
        <v>5473</v>
      </c>
      <c r="E12" s="9">
        <f>IFERROR(INDEX('08_Raw_Credit_Quality'!$C$5:$G$100,MATCH($A12,'08_Raw_Credit_Quality'!$A$5:$A$100,0),MATCH(E$4,'08_Raw_Credit_Quality'!$C$4:$G$4,0)),"")</f>
        <v>5471</v>
      </c>
      <c r="F12" s="12">
        <f>IFERROR(INDEX('08_Raw_Credit_Quality'!$C$5:$G$100,MATCH($A12,'08_Raw_Credit_Quality'!$A$5:$A$100,0),MATCH(F$4,'08_Raw_Credit_Quality'!$C$4:$G$4,0)),"")</f>
        <v>5487</v>
      </c>
    </row>
    <row r="13" spans="1:6">
      <c r="A13" t="s">
        <v>290</v>
      </c>
      <c r="B13" s="29">
        <f>IFERROR(INDEX('08_Raw_Credit_Quality'!$C$5:$G$100,MATCH($A13,'08_Raw_Credit_Quality'!$A$5:$A$100,0),MATCH(B$4,'08_Raw_Credit_Quality'!$C$4:$G$4,0)),"")</f>
        <v>1148</v>
      </c>
      <c r="C13" s="9">
        <f>IFERROR(INDEX('08_Raw_Credit_Quality'!$C$5:$G$100,MATCH($A13,'08_Raw_Credit_Quality'!$A$5:$A$100,0),MATCH(C$4,'08_Raw_Credit_Quality'!$C$4:$G$4,0)),"")</f>
        <v>1516</v>
      </c>
      <c r="D13" s="9">
        <f>IFERROR(INDEX('08_Raw_Credit_Quality'!$C$5:$G$100,MATCH($A13,'08_Raw_Credit_Quality'!$A$5:$A$100,0),MATCH(D$4,'08_Raw_Credit_Quality'!$C$4:$G$4,0)),"")</f>
        <v>1986</v>
      </c>
      <c r="E13" s="9">
        <f>IFERROR(INDEX('08_Raw_Credit_Quality'!$C$5:$G$100,MATCH($A13,'08_Raw_Credit_Quality'!$A$5:$A$100,0),MATCH(E$4,'08_Raw_Credit_Quality'!$C$4:$G$4,0)),"")</f>
        <v>2281</v>
      </c>
      <c r="F13" s="12">
        <f>IFERROR(INDEX('08_Raw_Credit_Quality'!$C$5:$G$100,MATCH($A13,'08_Raw_Credit_Quality'!$A$5:$A$100,0),MATCH(F$4,'08_Raw_Credit_Quality'!$C$4:$G$4,0)),"")</f>
        <v>2317</v>
      </c>
    </row>
    <row r="14" spans="1:6">
      <c r="A14" t="s">
        <v>291</v>
      </c>
      <c r="B14" s="31">
        <f>IFERROR(INDEX('08_Raw_Credit_Quality'!$C$5:$G$100,MATCH($A14,'08_Raw_Credit_Quality'!$A$5:$A$100,0),MATCH(B$4,'08_Raw_Credit_Quality'!$C$4:$G$4,0)),"")</f>
        <v>6.1000000000000004E-3</v>
      </c>
      <c r="C14" s="15">
        <f>IFERROR(INDEX('08_Raw_Credit_Quality'!$C$5:$G$100,MATCH($A14,'08_Raw_Credit_Quality'!$A$5:$A$100,0),MATCH(C$4,'08_Raw_Credit_Quality'!$C$4:$G$4,0)),"")</f>
        <v>6.4000000000000003E-3</v>
      </c>
      <c r="D14" s="15">
        <f>IFERROR(INDEX('08_Raw_Credit_Quality'!$C$5:$G$100,MATCH($A14,'08_Raw_Credit_Quality'!$A$5:$A$100,0),MATCH(D$4,'08_Raw_Credit_Quality'!$C$4:$G$4,0)),"")</f>
        <v>7.1000000000000004E-3</v>
      </c>
      <c r="E14" s="15">
        <f>IFERROR(INDEX('08_Raw_Credit_Quality'!$C$5:$G$100,MATCH($A14,'08_Raw_Credit_Quality'!$A$5:$A$100,0),MATCH(E$4,'08_Raw_Credit_Quality'!$C$4:$G$4,0)),"")</f>
        <v>7.3000000000000001E-3</v>
      </c>
      <c r="F14" s="16">
        <f>IFERROR(INDEX('08_Raw_Credit_Quality'!$C$5:$G$100,MATCH($A14,'08_Raw_Credit_Quality'!$A$5:$A$100,0),MATCH(F$4,'08_Raw_Credit_Quality'!$C$4:$G$4,0)),"")</f>
        <v>7.1999999999999998E-3</v>
      </c>
    </row>
    <row r="15" spans="1:6">
      <c r="A15" t="s">
        <v>292</v>
      </c>
      <c r="B15" s="31">
        <f>IFERROR(INDEX('08_Raw_Credit_Quality'!$C$5:$G$100,MATCH($A15,'08_Raw_Credit_Quality'!$A$5:$A$100,0),MATCH(B$4,'08_Raw_Credit_Quality'!$C$4:$G$4,0)),"")</f>
        <v>0.31</v>
      </c>
      <c r="C15" s="15">
        <f>IFERROR(INDEX('08_Raw_Credit_Quality'!$C$5:$G$100,MATCH($A15,'08_Raw_Credit_Quality'!$A$5:$A$100,0),MATCH(C$4,'08_Raw_Credit_Quality'!$C$4:$G$4,0)),"")</f>
        <v>0.25850000000000001</v>
      </c>
      <c r="D15" s="15">
        <f>IFERROR(INDEX('08_Raw_Credit_Quality'!$C$5:$G$100,MATCH($A15,'08_Raw_Credit_Quality'!$A$5:$A$100,0),MATCH(D$4,'08_Raw_Credit_Quality'!$C$4:$G$4,0)),"")</f>
        <v>0.2288</v>
      </c>
      <c r="E15" s="15">
        <f>IFERROR(INDEX('08_Raw_Credit_Quality'!$C$5:$G$100,MATCH($A15,'08_Raw_Credit_Quality'!$A$5:$A$100,0),MATCH(E$4,'08_Raw_Credit_Quality'!$C$4:$G$4,0)),"")</f>
        <v>0.24879999999999999</v>
      </c>
      <c r="F15" s="16">
        <f>IFERROR(INDEX('08_Raw_Credit_Quality'!$C$5:$G$100,MATCH($A15,'08_Raw_Credit_Quality'!$A$5:$A$100,0),MATCH(F$4,'08_Raw_Credit_Quality'!$C$4:$G$4,0)),"")</f>
        <v>0.23669999999999999</v>
      </c>
    </row>
    <row r="16" spans="1:6">
      <c r="A16" t="s">
        <v>293</v>
      </c>
      <c r="B16" s="17">
        <f>IFERROR(INDEX('08_Raw_Credit_Quality'!$C$5:$G$100,MATCH($A16,'08_Raw_Credit_Quality'!$A$5:$A$100,0),MATCH(B$4,'08_Raw_Credit_Quality'!$C$4:$G$4,0)),"")</f>
        <v>1.4E-3</v>
      </c>
      <c r="C16" s="18">
        <f>IFERROR(INDEX('08_Raw_Credit_Quality'!$C$5:$G$100,MATCH($A16,'08_Raw_Credit_Quality'!$A$5:$A$100,0),MATCH(C$4,'08_Raw_Credit_Quality'!$C$4:$G$4,0)),"")</f>
        <v>2.2000000000000001E-3</v>
      </c>
      <c r="D16" s="18">
        <f>IFERROR(INDEX('08_Raw_Credit_Quality'!$C$5:$G$100,MATCH($A16,'08_Raw_Credit_Quality'!$A$5:$A$100,0),MATCH(D$4,'08_Raw_Credit_Quality'!$C$4:$G$4,0)),"")</f>
        <v>2.8E-3</v>
      </c>
      <c r="E16" s="18">
        <f>IFERROR(INDEX('08_Raw_Credit_Quality'!$C$5:$G$100,MATCH($A16,'08_Raw_Credit_Quality'!$A$5:$A$100,0),MATCH(E$4,'08_Raw_Credit_Quality'!$C$4:$G$4,0)),"")</f>
        <v>2.3999999999999998E-3</v>
      </c>
      <c r="F16" s="19">
        <f>IFERROR(INDEX('08_Raw_Credit_Quality'!$C$5:$G$100,MATCH($A16,'08_Raw_Credit_Quality'!$A$5:$A$100,0),MATCH(F$4,'08_Raw_Credit_Quality'!$C$4:$G$4,0)),"")</f>
        <v>2.8E-3</v>
      </c>
    </row>
    <row r="17" spans="2:6">
      <c r="B17" s="17"/>
      <c r="C17" s="18"/>
      <c r="D17" s="18"/>
      <c r="E17" s="18"/>
      <c r="F17" s="19"/>
    </row>
  </sheetData>
  <mergeCells count="1">
    <mergeCell ref="A1:F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7"/>
  <sheetViews>
    <sheetView workbookViewId="0"/>
  </sheetViews>
  <sheetFormatPr defaultRowHeight="14.25"/>
  <cols>
    <col min="1" max="1" width="42" customWidth="1"/>
    <col min="2" max="6" width="14" customWidth="1"/>
  </cols>
  <sheetData>
    <row r="1" spans="1:6" ht="30" customHeight="1">
      <c r="A1" s="145" t="s">
        <v>324</v>
      </c>
      <c r="B1" s="145"/>
      <c r="C1" s="145"/>
      <c r="D1" s="145"/>
      <c r="E1" s="145"/>
      <c r="F1" s="145"/>
    </row>
    <row r="2" spans="1:6" ht="30" customHeight="1">
      <c r="A2" s="145"/>
      <c r="B2" s="145"/>
      <c r="C2" s="145"/>
      <c r="D2" s="145"/>
      <c r="E2" s="145"/>
      <c r="F2" s="145"/>
    </row>
    <row r="4" spans="1:6" ht="15">
      <c r="A4" s="59" t="s">
        <v>217</v>
      </c>
      <c r="B4" s="60" t="s">
        <v>219</v>
      </c>
      <c r="C4" s="60" t="s">
        <v>220</v>
      </c>
      <c r="D4" s="60" t="s">
        <v>105</v>
      </c>
      <c r="E4" s="60" t="s">
        <v>252</v>
      </c>
      <c r="F4" s="61" t="s">
        <v>123</v>
      </c>
    </row>
    <row r="5" spans="1:6">
      <c r="A5" t="s">
        <v>296</v>
      </c>
      <c r="B5" s="28">
        <f>IFERROR(INDEX('09_Raw_Capital_Liquidity'!$C$5:$G$100,MATCH($A5,'09_Raw_Capital_Liquidity'!$A$5:$A$100,0),MATCH(B$4,'09_Raw_Capital_Liquidity'!$C$4:$G$4,0)),"")</f>
        <v>86611</v>
      </c>
      <c r="C5" s="10">
        <f>IFERROR(INDEX('09_Raw_Capital_Liquidity'!$C$5:$G$100,MATCH($A5,'09_Raw_Capital_Liquidity'!$A$5:$A$100,0),MATCH(C$4,'09_Raw_Capital_Liquidity'!$C$4:$G$4,0)),"")</f>
        <v>88936</v>
      </c>
      <c r="D5" s="10">
        <f>IFERROR(INDEX('09_Raw_Capital_Liquidity'!$C$5:$G$100,MATCH($A5,'09_Raw_Capital_Liquidity'!$A$5:$A$100,0),MATCH(D$4,'09_Raw_Capital_Liquidity'!$C$4:$G$4,0)),"")</f>
        <v>98748</v>
      </c>
      <c r="E5" s="10">
        <f>IFERROR(INDEX('09_Raw_Capital_Liquidity'!$C$5:$G$100,MATCH($A5,'09_Raw_Capital_Liquidity'!$A$5:$A$100,0),MATCH(E$4,'09_Raw_Capital_Liquidity'!$C$4:$G$4,0)),"")</f>
        <v>100415</v>
      </c>
      <c r="F5" s="11">
        <f>IFERROR(INDEX('09_Raw_Capital_Liquidity'!$C$5:$G$100,MATCH($A5,'09_Raw_Capital_Liquidity'!$A$5:$A$100,0),MATCH(F$4,'09_Raw_Capital_Liquidity'!$C$4:$G$4,0)),"")</f>
        <v>101313</v>
      </c>
    </row>
    <row r="6" spans="1:6">
      <c r="A6" t="s">
        <v>300</v>
      </c>
      <c r="B6" s="29">
        <f>IFERROR(INDEX('09_Raw_Capital_Liquidity'!$C$5:$G$100,MATCH($A6,'09_Raw_Capital_Liquidity'!$A$5:$A$100,0),MATCH(B$4,'09_Raw_Capital_Liquidity'!$C$4:$G$4,0)),"")</f>
        <v>93904</v>
      </c>
      <c r="C6" s="9">
        <f>IFERROR(INDEX('09_Raw_Capital_Liquidity'!$C$5:$G$100,MATCH($A6,'09_Raw_Capital_Liquidity'!$A$5:$A$100,0),MATCH(C$4,'09_Raw_Capital_Liquidity'!$C$4:$G$4,0)),"")</f>
        <v>97952</v>
      </c>
      <c r="D6" s="9">
        <f>IFERROR(INDEX('09_Raw_Capital_Liquidity'!$C$5:$G$100,MATCH($A6,'09_Raw_Capital_Liquidity'!$A$5:$A$100,0),MATCH(D$4,'09_Raw_Capital_Liquidity'!$C$4:$G$4,0)),"")</f>
        <v>110393</v>
      </c>
      <c r="E6" s="9">
        <f>IFERROR(INDEX('09_Raw_Capital_Liquidity'!$C$5:$G$100,MATCH($A6,'09_Raw_Capital_Liquidity'!$A$5:$A$100,0),MATCH(E$4,'09_Raw_Capital_Liquidity'!$C$4:$G$4,0)),"")</f>
        <v>111549</v>
      </c>
      <c r="F6" s="12">
        <f>IFERROR(INDEX('09_Raw_Capital_Liquidity'!$C$5:$G$100,MATCH($A6,'09_Raw_Capital_Liquidity'!$A$5:$A$100,0),MATCH(F$4,'09_Raw_Capital_Liquidity'!$C$4:$G$4,0)),"")</f>
        <v>112453</v>
      </c>
    </row>
    <row r="7" spans="1:6">
      <c r="A7" t="s">
        <v>301</v>
      </c>
      <c r="B7" s="29">
        <f>IFERROR(INDEX('09_Raw_Capital_Liquidity'!$C$5:$G$100,MATCH($A7,'09_Raw_Capital_Liquidity'!$A$5:$A$100,0),MATCH(B$4,'09_Raw_Capital_Liquidity'!$C$4:$G$4,0)),"")</f>
        <v>104952</v>
      </c>
      <c r="C7" s="9">
        <f>IFERROR(INDEX('09_Raw_Capital_Liquidity'!$C$5:$G$100,MATCH($A7,'09_Raw_Capital_Liquidity'!$A$5:$A$100,0),MATCH(C$4,'09_Raw_Capital_Liquidity'!$C$4:$G$4,0)),"")</f>
        <v>110487</v>
      </c>
      <c r="D7" s="9">
        <f>IFERROR(INDEX('09_Raw_Capital_Liquidity'!$C$5:$G$100,MATCH($A7,'09_Raw_Capital_Liquidity'!$A$5:$A$100,0),MATCH(D$4,'09_Raw_Capital_Liquidity'!$C$4:$G$4,0)),"")</f>
        <v>122399</v>
      </c>
      <c r="E7" s="9">
        <f>IFERROR(INDEX('09_Raw_Capital_Liquidity'!$C$5:$G$100,MATCH($A7,'09_Raw_Capital_Liquidity'!$A$5:$A$100,0),MATCH(E$4,'09_Raw_Capital_Liquidity'!$C$4:$G$4,0)),"")</f>
        <v>123732</v>
      </c>
      <c r="F7" s="12">
        <f>IFERROR(INDEX('09_Raw_Capital_Liquidity'!$C$5:$G$100,MATCH($A7,'09_Raw_Capital_Liquidity'!$A$5:$A$100,0),MATCH(F$4,'09_Raw_Capital_Liquidity'!$C$4:$G$4,0)),"")</f>
        <v>126286</v>
      </c>
    </row>
    <row r="8" spans="1:6">
      <c r="A8" t="s">
        <v>302</v>
      </c>
      <c r="B8" s="29">
        <f>IFERROR(INDEX('09_Raw_Capital_Liquidity'!$C$5:$G$100,MATCH($A8,'09_Raw_Capital_Liquidity'!$A$5:$A$100,0),MATCH(B$4,'09_Raw_Capital_Liquidity'!$C$4:$G$4,0)),"")</f>
        <v>596223</v>
      </c>
      <c r="C8" s="9">
        <f>IFERROR(INDEX('09_Raw_Capital_Liquidity'!$C$5:$G$100,MATCH($A8,'09_Raw_Capital_Liquidity'!$A$5:$A$100,0),MATCH(C$4,'09_Raw_Capital_Liquidity'!$C$4:$G$4,0)),"")</f>
        <v>672282</v>
      </c>
      <c r="D8" s="9">
        <f>IFERROR(INDEX('09_Raw_Capital_Liquidity'!$C$5:$G$100,MATCH($A8,'09_Raw_Capital_Liquidity'!$A$5:$A$100,0),MATCH(D$4,'09_Raw_Capital_Liquidity'!$C$4:$G$4,0)),"")</f>
        <v>730225</v>
      </c>
      <c r="E8" s="9">
        <f>IFERROR(INDEX('09_Raw_Capital_Liquidity'!$C$5:$G$100,MATCH($A8,'09_Raw_Capital_Liquidity'!$A$5:$A$100,0),MATCH(E$4,'09_Raw_Capital_Liquidity'!$C$4:$G$4,0)),"")</f>
        <v>734693</v>
      </c>
      <c r="F8" s="12">
        <f>IFERROR(INDEX('09_Raw_Capital_Liquidity'!$C$5:$G$100,MATCH($A8,'09_Raw_Capital_Liquidity'!$A$5:$A$100,0),MATCH(F$4,'09_Raw_Capital_Liquidity'!$C$4:$G$4,0)),"")</f>
        <v>748590</v>
      </c>
    </row>
    <row r="9" spans="1:6">
      <c r="A9" t="s">
        <v>303</v>
      </c>
      <c r="B9" s="31">
        <f>IFERROR(INDEX('09_Raw_Capital_Liquidity'!$C$5:$G$100,MATCH($A9,'09_Raw_Capital_Liquidity'!$A$5:$A$100,0),MATCH(B$4,'09_Raw_Capital_Liquidity'!$C$4:$G$4,0)),"")</f>
        <v>0.14499999999999999</v>
      </c>
      <c r="C9" s="15">
        <f>IFERROR(INDEX('09_Raw_Capital_Liquidity'!$C$5:$G$100,MATCH($A9,'09_Raw_Capital_Liquidity'!$A$5:$A$100,0),MATCH(C$4,'09_Raw_Capital_Liquidity'!$C$4:$G$4,0)),"")</f>
        <v>0.13200000000000001</v>
      </c>
      <c r="D9" s="15">
        <f>IFERROR(INDEX('09_Raw_Capital_Liquidity'!$C$5:$G$100,MATCH($A9,'09_Raw_Capital_Liquidity'!$A$5:$A$100,0),MATCH(D$4,'09_Raw_Capital_Liquidity'!$C$4:$G$4,0)),"")</f>
        <v>0.13500000000000001</v>
      </c>
      <c r="E9" s="15">
        <f>IFERROR(INDEX('09_Raw_Capital_Liquidity'!$C$5:$G$100,MATCH($A9,'09_Raw_Capital_Liquidity'!$A$5:$A$100,0),MATCH(E$4,'09_Raw_Capital_Liquidity'!$C$4:$G$4,0)),"")</f>
        <v>0.13700000000000001</v>
      </c>
      <c r="F9" s="16">
        <f>IFERROR(INDEX('09_Raw_Capital_Liquidity'!$C$5:$G$100,MATCH($A9,'09_Raw_Capital_Liquidity'!$A$5:$A$100,0),MATCH(F$4,'09_Raw_Capital_Liquidity'!$C$4:$G$4,0)),"")</f>
        <v>0.13500000000000001</v>
      </c>
    </row>
    <row r="10" spans="1:6">
      <c r="A10" t="s">
        <v>304</v>
      </c>
      <c r="B10" s="31">
        <f>IFERROR(INDEX('09_Raw_Capital_Liquidity'!$C$5:$G$100,MATCH($A10,'09_Raw_Capital_Liquidity'!$A$5:$A$100,0),MATCH(B$4,'09_Raw_Capital_Liquidity'!$C$4:$G$4,0)),"")</f>
        <v>0.157</v>
      </c>
      <c r="C10" s="15">
        <f>IFERROR(INDEX('09_Raw_Capital_Liquidity'!$C$5:$G$100,MATCH($A10,'09_Raw_Capital_Liquidity'!$A$5:$A$100,0),MATCH(C$4,'09_Raw_Capital_Liquidity'!$C$4:$G$4,0)),"")</f>
        <v>0.14599999999999999</v>
      </c>
      <c r="D10" s="15">
        <f>IFERROR(INDEX('09_Raw_Capital_Liquidity'!$C$5:$G$100,MATCH($A10,'09_Raw_Capital_Liquidity'!$A$5:$A$100,0),MATCH(D$4,'09_Raw_Capital_Liquidity'!$C$4:$G$4,0)),"")</f>
        <v>0.151</v>
      </c>
      <c r="E10" s="15">
        <f>IFERROR(INDEX('09_Raw_Capital_Liquidity'!$C$5:$G$100,MATCH($A10,'09_Raw_Capital_Liquidity'!$A$5:$A$100,0),MATCH(E$4,'09_Raw_Capital_Liquidity'!$C$4:$G$4,0)),"")</f>
        <v>0.152</v>
      </c>
      <c r="F10" s="16">
        <f>IFERROR(INDEX('09_Raw_Capital_Liquidity'!$C$5:$G$100,MATCH($A10,'09_Raw_Capital_Liquidity'!$A$5:$A$100,0),MATCH(F$4,'09_Raw_Capital_Liquidity'!$C$4:$G$4,0)),"")</f>
        <v>0.15</v>
      </c>
    </row>
    <row r="11" spans="1:6">
      <c r="A11" t="s">
        <v>305</v>
      </c>
      <c r="B11" s="31">
        <f>IFERROR(INDEX('09_Raw_Capital_Liquidity'!$C$5:$G$100,MATCH($A11,'09_Raw_Capital_Liquidity'!$A$5:$A$100,0),MATCH(B$4,'09_Raw_Capital_Liquidity'!$C$4:$G$4,0)),"")</f>
        <v>0.17599999999999999</v>
      </c>
      <c r="C11" s="15">
        <f>IFERROR(INDEX('09_Raw_Capital_Liquidity'!$C$5:$G$100,MATCH($A11,'09_Raw_Capital_Liquidity'!$A$5:$A$100,0),MATCH(C$4,'09_Raw_Capital_Liquidity'!$C$4:$G$4,0)),"")</f>
        <v>0.16400000000000001</v>
      </c>
      <c r="D11" s="15">
        <f>IFERROR(INDEX('09_Raw_Capital_Liquidity'!$C$5:$G$100,MATCH($A11,'09_Raw_Capital_Liquidity'!$A$5:$A$100,0),MATCH(D$4,'09_Raw_Capital_Liquidity'!$C$4:$G$4,0)),"")</f>
        <v>0.16800000000000001</v>
      </c>
      <c r="E11" s="15">
        <f>IFERROR(INDEX('09_Raw_Capital_Liquidity'!$C$5:$G$100,MATCH($A11,'09_Raw_Capital_Liquidity'!$A$5:$A$100,0),MATCH(E$4,'09_Raw_Capital_Liquidity'!$C$4:$G$4,0)),"")</f>
        <v>0.16800000000000001</v>
      </c>
      <c r="F11" s="16">
        <f>IFERROR(INDEX('09_Raw_Capital_Liquidity'!$C$5:$G$100,MATCH($A11,'09_Raw_Capital_Liquidity'!$A$5:$A$100,0),MATCH(F$4,'09_Raw_Capital_Liquidity'!$C$4:$G$4,0)),"")</f>
        <v>0.16900000000000001</v>
      </c>
    </row>
    <row r="12" spans="1:6">
      <c r="A12" t="s">
        <v>306</v>
      </c>
      <c r="B12" s="31">
        <f>IFERROR(INDEX('09_Raw_Capital_Liquidity'!$C$5:$G$100,MATCH($A12,'09_Raw_Capital_Liquidity'!$A$5:$A$100,0),MATCH(B$4,'09_Raw_Capital_Liquidity'!$C$4:$G$4,0)),"")</f>
        <v>4.2999999999999997E-2</v>
      </c>
      <c r="C12" s="15">
        <f>IFERROR(INDEX('09_Raw_Capital_Liquidity'!$C$5:$G$100,MATCH($A12,'09_Raw_Capital_Liquidity'!$A$5:$A$100,0),MATCH(C$4,'09_Raw_Capital_Liquidity'!$C$4:$G$4,0)),"")</f>
        <v>4.2000000000000003E-2</v>
      </c>
      <c r="D12" s="15">
        <f>IFERROR(INDEX('09_Raw_Capital_Liquidity'!$C$5:$G$100,MATCH($A12,'09_Raw_Capital_Liquidity'!$A$5:$A$100,0),MATCH(D$4,'09_Raw_Capital_Liquidity'!$C$4:$G$4,0)),"")</f>
        <v>4.3999999999999997E-2</v>
      </c>
      <c r="E12" s="15">
        <f>IFERROR(INDEX('09_Raw_Capital_Liquidity'!$C$5:$G$100,MATCH($A12,'09_Raw_Capital_Liquidity'!$A$5:$A$100,0),MATCH(E$4,'09_Raw_Capital_Liquidity'!$C$4:$G$4,0)),"")</f>
        <v>4.3999999999999997E-2</v>
      </c>
      <c r="F12" s="16">
        <f>IFERROR(INDEX('09_Raw_Capital_Liquidity'!$C$5:$G$100,MATCH($A12,'09_Raw_Capital_Liquidity'!$A$5:$A$100,0),MATCH(F$4,'09_Raw_Capital_Liquidity'!$C$4:$G$4,0)),"")</f>
        <v>4.2999999999999997E-2</v>
      </c>
    </row>
    <row r="13" spans="1:6">
      <c r="A13" t="s">
        <v>193</v>
      </c>
      <c r="B13" s="31">
        <f>IFERROR(INDEX('09_Raw_Capital_Liquidity'!$C$5:$G$100,MATCH($A13,'09_Raw_Capital_Liquidity'!$A$5:$A$100,0),MATCH(B$4,'09_Raw_Capital_Liquidity'!$C$4:$G$4,0)),"")</f>
        <v>0</v>
      </c>
      <c r="C13" s="15">
        <f>IFERROR(INDEX('09_Raw_Capital_Liquidity'!$C$5:$G$100,MATCH($A13,'09_Raw_Capital_Liquidity'!$A$5:$A$100,0),MATCH(C$4,'09_Raw_Capital_Liquidity'!$C$4:$G$4,0)),"")</f>
        <v>1.28</v>
      </c>
      <c r="D13" s="15">
        <f>IFERROR(INDEX('09_Raw_Capital_Liquidity'!$C$5:$G$100,MATCH($A13,'09_Raw_Capital_Liquidity'!$A$5:$A$100,0),MATCH(D$4,'09_Raw_Capital_Liquidity'!$C$4:$G$4,0)),"")</f>
        <v>1.27</v>
      </c>
      <c r="E13" s="15">
        <f>IFERROR(INDEX('09_Raw_Capital_Liquidity'!$C$5:$G$100,MATCH($A13,'09_Raw_Capital_Liquidity'!$A$5:$A$100,0),MATCH(E$4,'09_Raw_Capital_Liquidity'!$C$4:$G$4,0)),"")</f>
        <v>1.24</v>
      </c>
      <c r="F13" s="16">
        <f>IFERROR(INDEX('09_Raw_Capital_Liquidity'!$C$5:$G$100,MATCH($A13,'09_Raw_Capital_Liquidity'!$A$5:$A$100,0),MATCH(F$4,'09_Raw_Capital_Liquidity'!$C$4:$G$4,0)),"")</f>
        <v>1.26</v>
      </c>
    </row>
    <row r="14" spans="1:6">
      <c r="A14" t="s">
        <v>198</v>
      </c>
      <c r="B14" s="31">
        <f>IFERROR(INDEX('09_Raw_Capital_Liquidity'!$C$5:$G$100,MATCH($A14,'09_Raw_Capital_Liquidity'!$A$5:$A$100,0),MATCH(B$4,'09_Raw_Capital_Liquidity'!$C$4:$G$4,0)),"")</f>
        <v>0</v>
      </c>
      <c r="C14" s="15">
        <f>IFERROR(INDEX('09_Raw_Capital_Liquidity'!$C$5:$G$100,MATCH($A14,'09_Raw_Capital_Liquidity'!$A$5:$A$100,0),MATCH(C$4,'09_Raw_Capital_Liquidity'!$C$4:$G$4,0)),"")</f>
        <v>1.1399999999999999</v>
      </c>
      <c r="D14" s="15">
        <f>IFERROR(INDEX('09_Raw_Capital_Liquidity'!$C$5:$G$100,MATCH($A14,'09_Raw_Capital_Liquidity'!$A$5:$A$100,0),MATCH(D$4,'09_Raw_Capital_Liquidity'!$C$4:$G$4,0)),"")</f>
        <v>1.1200000000000001</v>
      </c>
      <c r="E14" s="15">
        <f>IFERROR(INDEX('09_Raw_Capital_Liquidity'!$C$5:$G$100,MATCH($A14,'09_Raw_Capital_Liquidity'!$A$5:$A$100,0),MATCH(E$4,'09_Raw_Capital_Liquidity'!$C$4:$G$4,0)),"")</f>
        <v>1.1100000000000001</v>
      </c>
      <c r="F14" s="16">
        <f>IFERROR(INDEX('09_Raw_Capital_Liquidity'!$C$5:$G$100,MATCH($A14,'09_Raw_Capital_Liquidity'!$A$5:$A$100,0),MATCH(F$4,'09_Raw_Capital_Liquidity'!$C$4:$G$4,0)),"")</f>
        <v>1.1100000000000001</v>
      </c>
    </row>
    <row r="15" spans="1:6">
      <c r="A15" t="s">
        <v>277</v>
      </c>
      <c r="B15" s="29">
        <f>IFERROR(INDEX('09_Raw_Capital_Liquidity'!$C$5:$G$100,MATCH($A15,'09_Raw_Capital_Liquidity'!$A$5:$A$100,0),MATCH(B$4,'09_Raw_Capital_Liquidity'!$C$4:$G$4,0)),"")</f>
        <v>107734</v>
      </c>
      <c r="C15" s="9">
        <f>IFERROR(INDEX('09_Raw_Capital_Liquidity'!$C$5:$G$100,MATCH($A15,'09_Raw_Capital_Liquidity'!$A$5:$A$100,0),MATCH(C$4,'09_Raw_Capital_Liquidity'!$C$4:$G$4,0)),"")</f>
        <v>118058</v>
      </c>
      <c r="D15" s="9">
        <f>IFERROR(INDEX('09_Raw_Capital_Liquidity'!$C$5:$G$100,MATCH($A15,'09_Raw_Capital_Liquidity'!$A$5:$A$100,0),MATCH(D$4,'09_Raw_Capital_Liquidity'!$C$4:$G$4,0)),"")</f>
        <v>127417</v>
      </c>
      <c r="E15" s="9">
        <f>IFERROR(INDEX('09_Raw_Capital_Liquidity'!$C$5:$G$100,MATCH($A15,'09_Raw_Capital_Liquidity'!$A$5:$A$100,0),MATCH(E$4,'09_Raw_Capital_Liquidity'!$C$4:$G$4,0)),"")</f>
        <v>128670</v>
      </c>
      <c r="F15" s="12">
        <f>IFERROR(INDEX('09_Raw_Capital_Liquidity'!$C$5:$G$100,MATCH($A15,'09_Raw_Capital_Liquidity'!$A$5:$A$100,0),MATCH(F$4,'09_Raw_Capital_Liquidity'!$C$4:$G$4,0)),"")</f>
        <v>129579</v>
      </c>
    </row>
    <row r="16" spans="1:6">
      <c r="A16" t="s">
        <v>309</v>
      </c>
      <c r="B16" s="23">
        <f>IFERROR(INDEX('09_Raw_Capital_Liquidity'!$C$5:$G$100,MATCH($A16,'09_Raw_Capital_Liquidity'!$A$5:$A$100,0),MATCH(B$4,'09_Raw_Capital_Liquidity'!$C$4:$G$4,0)),"")</f>
        <v>5.4</v>
      </c>
      <c r="C16" s="24">
        <f>IFERROR(INDEX('09_Raw_Capital_Liquidity'!$C$5:$G$100,MATCH($A16,'09_Raw_Capital_Liquidity'!$A$5:$A$100,0),MATCH(C$4,'09_Raw_Capital_Liquidity'!$C$4:$G$4,0)),"")</f>
        <v>5.6</v>
      </c>
      <c r="D16" s="24">
        <f>IFERROR(INDEX('09_Raw_Capital_Liquidity'!$C$5:$G$100,MATCH($A16,'09_Raw_Capital_Liquidity'!$A$5:$A$100,0),MATCH(D$4,'09_Raw_Capital_Liquidity'!$C$4:$G$4,0)),"")</f>
        <v>6.04</v>
      </c>
      <c r="E16" s="24">
        <f>IFERROR(INDEX('09_Raw_Capital_Liquidity'!$C$5:$G$100,MATCH($A16,'09_Raw_Capital_Liquidity'!$A$5:$A$100,0),MATCH(E$4,'09_Raw_Capital_Liquidity'!$C$4:$G$4,0)),"")</f>
        <v>1.64</v>
      </c>
      <c r="F16" s="25">
        <f>IFERROR(INDEX('09_Raw_Capital_Liquidity'!$C$5:$G$100,MATCH($A16,'09_Raw_Capital_Liquidity'!$A$5:$A$100,0),MATCH(F$4,'09_Raw_Capital_Liquidity'!$C$4:$G$4,0)),"")</f>
        <v>1.64</v>
      </c>
    </row>
    <row r="17" spans="2:6">
      <c r="B17" s="23"/>
      <c r="C17" s="24"/>
      <c r="D17" s="24"/>
      <c r="E17" s="24"/>
      <c r="F17" s="25"/>
    </row>
  </sheetData>
  <mergeCells count="1">
    <mergeCell ref="A1:F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2"/>
  <sheetViews>
    <sheetView workbookViewId="0"/>
  </sheetViews>
  <sheetFormatPr defaultRowHeight="14.25"/>
  <cols>
    <col min="1" max="1" width="34" customWidth="1"/>
    <col min="2" max="4" width="13" customWidth="1"/>
    <col min="5" max="5" width="16" customWidth="1"/>
    <col min="6" max="6" width="14" customWidth="1"/>
    <col min="7" max="7" width="48" customWidth="1"/>
  </cols>
  <sheetData>
    <row r="1" spans="1:8" ht="30" customHeight="1">
      <c r="A1" s="145" t="s">
        <v>325</v>
      </c>
      <c r="B1" s="145"/>
      <c r="C1" s="145"/>
      <c r="D1" s="145"/>
      <c r="E1" s="145"/>
      <c r="F1" s="145"/>
      <c r="G1" s="145"/>
    </row>
    <row r="2" spans="1:8" ht="30" customHeight="1">
      <c r="A2" s="145"/>
      <c r="B2" s="145"/>
      <c r="C2" s="145"/>
      <c r="D2" s="145"/>
      <c r="E2" s="145"/>
      <c r="F2" s="145"/>
      <c r="G2" s="145"/>
    </row>
    <row r="4" spans="1:8" ht="30">
      <c r="A4" s="59" t="s">
        <v>326</v>
      </c>
      <c r="B4" s="60" t="s">
        <v>219</v>
      </c>
      <c r="C4" s="60" t="s">
        <v>220</v>
      </c>
      <c r="D4" s="60" t="s">
        <v>105</v>
      </c>
      <c r="E4" s="60" t="s">
        <v>327</v>
      </c>
      <c r="F4" s="60" t="s">
        <v>328</v>
      </c>
      <c r="G4" s="61" t="s">
        <v>329</v>
      </c>
      <c r="H4" s="61" t="s">
        <v>330</v>
      </c>
    </row>
    <row r="5" spans="1:8" ht="242.25">
      <c r="A5" t="s">
        <v>225</v>
      </c>
      <c r="B5" s="28">
        <v>51464</v>
      </c>
      <c r="C5" s="10">
        <v>57344</v>
      </c>
      <c r="D5" s="10">
        <v>66605</v>
      </c>
      <c r="E5" s="26">
        <f t="shared" ref="E5:E22" si="0">IFERROR(D5/B5-1,"")</f>
        <v>0.2942056583242656</v>
      </c>
      <c r="F5" s="4" t="str">
        <f>IF(E5="","",IF(E5&gt;0,"Favourable","Unfavourable"))</f>
        <v>Favourable</v>
      </c>
      <c r="G5" s="115" t="s">
        <v>331</v>
      </c>
      <c r="H5" s="66" t="s">
        <v>332</v>
      </c>
    </row>
    <row r="6" spans="1:8" ht="213.75">
      <c r="A6" t="s">
        <v>229</v>
      </c>
      <c r="B6" s="29">
        <v>14612</v>
      </c>
      <c r="C6" s="9">
        <v>16240</v>
      </c>
      <c r="D6" s="9">
        <v>20369</v>
      </c>
      <c r="E6" s="15">
        <f t="shared" si="0"/>
        <v>0.39399124007664943</v>
      </c>
      <c r="F6" s="6" t="str">
        <f>IF(E6="","",IF(E6&gt;0,"Favourable","Unfavourable"))</f>
        <v>Favourable</v>
      </c>
      <c r="G6" s="115" t="s">
        <v>331</v>
      </c>
      <c r="H6" s="66" t="s">
        <v>333</v>
      </c>
    </row>
    <row r="7" spans="1:8" ht="171">
      <c r="A7" t="s">
        <v>231</v>
      </c>
      <c r="B7" s="30">
        <v>10.32</v>
      </c>
      <c r="C7" s="13">
        <v>11.25</v>
      </c>
      <c r="D7" s="13">
        <v>14.07</v>
      </c>
      <c r="E7" s="15">
        <f t="shared" si="0"/>
        <v>0.36337209302325579</v>
      </c>
      <c r="F7" s="6" t="str">
        <f>IF(E7="","",IF(E7&gt;0,"Favourable","Unfavourable"))</f>
        <v>Favourable</v>
      </c>
      <c r="G7" s="115" t="s">
        <v>331</v>
      </c>
      <c r="H7" s="66" t="s">
        <v>334</v>
      </c>
    </row>
    <row r="8" spans="1:8" ht="142.5">
      <c r="A8" t="s">
        <v>183</v>
      </c>
      <c r="B8" s="31">
        <v>0.14299999999999999</v>
      </c>
      <c r="C8" s="15">
        <v>0.14399999999999999</v>
      </c>
      <c r="D8" s="15">
        <v>0.16300000000000001</v>
      </c>
      <c r="E8" s="15">
        <f t="shared" si="0"/>
        <v>0.13986013986014001</v>
      </c>
      <c r="F8" s="6" t="str">
        <f>IF(E8="","",IF(E8&gt;0,"Favourable","Unfavourable"))</f>
        <v>Favourable</v>
      </c>
      <c r="G8" s="115" t="s">
        <v>331</v>
      </c>
      <c r="H8" s="66" t="s">
        <v>335</v>
      </c>
    </row>
    <row r="9" spans="1:8" ht="156.75">
      <c r="A9" t="s">
        <v>186</v>
      </c>
      <c r="B9" s="31">
        <v>0.59899999999999998</v>
      </c>
      <c r="C9" s="15">
        <v>0.59699999999999998</v>
      </c>
      <c r="D9" s="15">
        <v>0.54900000000000004</v>
      </c>
      <c r="E9" s="15">
        <f t="shared" si="0"/>
        <v>-8.3472454090150139E-2</v>
      </c>
      <c r="F9" s="6" t="str">
        <f>IF(E9="","",IF(E9&lt;0,"Favourable","Unfavourable"))</f>
        <v>Favourable</v>
      </c>
      <c r="G9" s="115" t="s">
        <v>336</v>
      </c>
      <c r="H9" s="66" t="s">
        <v>337</v>
      </c>
    </row>
    <row r="10" spans="1:8" ht="228">
      <c r="A10" t="s">
        <v>189</v>
      </c>
      <c r="B10" s="31">
        <v>-0.107</v>
      </c>
      <c r="C10" s="15">
        <v>2E-3</v>
      </c>
      <c r="D10" s="15">
        <v>9.2999999999999999E-2</v>
      </c>
      <c r="E10" s="15">
        <f t="shared" si="0"/>
        <v>-1.8691588785046729</v>
      </c>
      <c r="F10" s="6" t="str">
        <f>IF(E10="","",IF(E10&gt;0,"Favourable","Unfavourable"))</f>
        <v>Unfavourable</v>
      </c>
      <c r="G10" s="115" t="s">
        <v>331</v>
      </c>
      <c r="H10" s="66" t="s">
        <v>338</v>
      </c>
    </row>
    <row r="11" spans="1:8" ht="199.5">
      <c r="A11" t="s">
        <v>237</v>
      </c>
      <c r="B11" s="29">
        <v>20651</v>
      </c>
      <c r="C11" s="9">
        <v>23094</v>
      </c>
      <c r="D11" s="9">
        <v>30013</v>
      </c>
      <c r="E11" s="15">
        <f t="shared" si="0"/>
        <v>0.45334366374509716</v>
      </c>
      <c r="F11" s="6" t="str">
        <f>IF(E11="","",IF(E11&gt;0,"Favourable","Unfavourable"))</f>
        <v>Favourable</v>
      </c>
      <c r="G11" s="115" t="s">
        <v>331</v>
      </c>
      <c r="H11" s="66" t="s">
        <v>339</v>
      </c>
    </row>
    <row r="12" spans="1:8" ht="185.25">
      <c r="A12" t="s">
        <v>281</v>
      </c>
      <c r="B12" s="29">
        <v>2468</v>
      </c>
      <c r="C12" s="9">
        <v>3232</v>
      </c>
      <c r="D12" s="9">
        <v>4362</v>
      </c>
      <c r="E12" s="15">
        <f t="shared" si="0"/>
        <v>0.76742301458670981</v>
      </c>
      <c r="F12" s="6" t="str">
        <f>IF(E12="","",IF(E12&lt;0,"Favourable","Unfavourable"))</f>
        <v>Unfavourable</v>
      </c>
      <c r="G12" s="115" t="s">
        <v>336</v>
      </c>
      <c r="H12" s="66" t="s">
        <v>340</v>
      </c>
    </row>
    <row r="13" spans="1:8" ht="171">
      <c r="A13" t="s">
        <v>286</v>
      </c>
      <c r="B13" s="31">
        <v>2.8999999999999998E-3</v>
      </c>
      <c r="C13" s="15">
        <v>3.5000000000000001E-3</v>
      </c>
      <c r="D13" s="15">
        <v>4.3E-3</v>
      </c>
      <c r="E13" s="15">
        <f t="shared" si="0"/>
        <v>0.48275862068965525</v>
      </c>
      <c r="F13" s="6" t="str">
        <f>IF(E13="","",IF(E13&lt;0,"Favourable","Unfavourable"))</f>
        <v>Unfavourable</v>
      </c>
      <c r="G13" s="115" t="s">
        <v>336</v>
      </c>
      <c r="H13" s="66" t="s">
        <v>341</v>
      </c>
    </row>
    <row r="14" spans="1:8" ht="199.5">
      <c r="A14" t="s">
        <v>169</v>
      </c>
      <c r="B14" s="29">
        <v>3704</v>
      </c>
      <c r="C14" s="9">
        <v>5867</v>
      </c>
      <c r="D14" s="9">
        <v>8682</v>
      </c>
      <c r="E14" s="15">
        <f t="shared" si="0"/>
        <v>1.3439524838012957</v>
      </c>
      <c r="F14" s="6" t="str">
        <f>IF(E14="","",IF(E14&lt;0,"Favourable","Unfavourable"))</f>
        <v>Unfavourable</v>
      </c>
      <c r="G14" s="115" t="s">
        <v>336</v>
      </c>
      <c r="H14" s="66" t="s">
        <v>342</v>
      </c>
    </row>
    <row r="15" spans="1:8" ht="156.75">
      <c r="A15" t="s">
        <v>288</v>
      </c>
      <c r="B15" s="31">
        <v>4.1999999999999997E-3</v>
      </c>
      <c r="C15" s="15">
        <v>5.8999999999999999E-3</v>
      </c>
      <c r="D15" s="15">
        <v>8.3000000000000001E-3</v>
      </c>
      <c r="E15" s="15">
        <f t="shared" si="0"/>
        <v>0.97619047619047628</v>
      </c>
      <c r="F15" s="6" t="str">
        <f>IF(E15="","",IF(E15&lt;0,"Favourable","Unfavourable"))</f>
        <v>Unfavourable</v>
      </c>
      <c r="G15" s="115" t="s">
        <v>336</v>
      </c>
      <c r="H15" s="66" t="s">
        <v>343</v>
      </c>
    </row>
    <row r="16" spans="1:8" ht="185.25">
      <c r="A16" t="s">
        <v>165</v>
      </c>
      <c r="B16" s="29">
        <v>5366</v>
      </c>
      <c r="C16" s="9">
        <v>6364</v>
      </c>
      <c r="D16" s="9">
        <v>7470</v>
      </c>
      <c r="E16" s="15">
        <f t="shared" si="0"/>
        <v>0.39209839731643692</v>
      </c>
      <c r="F16" s="6" t="str">
        <f t="shared" ref="F16:F22" si="1">IF(E16="","",IF(E16&gt;0,"Favourable","Unfavourable"))</f>
        <v>Favourable</v>
      </c>
      <c r="G16" s="115" t="s">
        <v>331</v>
      </c>
      <c r="H16" s="66" t="s">
        <v>344</v>
      </c>
    </row>
    <row r="17" spans="1:8" ht="156.75">
      <c r="A17" t="s">
        <v>303</v>
      </c>
      <c r="B17" s="31">
        <v>0.14499999999999999</v>
      </c>
      <c r="C17" s="15">
        <v>0.13200000000000001</v>
      </c>
      <c r="D17" s="15">
        <v>0.13500000000000001</v>
      </c>
      <c r="E17" s="15">
        <f t="shared" si="0"/>
        <v>-6.8965517241379226E-2</v>
      </c>
      <c r="F17" s="6" t="str">
        <f t="shared" si="1"/>
        <v>Unfavourable</v>
      </c>
      <c r="G17" s="115" t="s">
        <v>331</v>
      </c>
      <c r="H17" s="66" t="s">
        <v>345</v>
      </c>
    </row>
    <row r="18" spans="1:8" ht="142.5">
      <c r="A18" t="s">
        <v>305</v>
      </c>
      <c r="B18" s="31">
        <v>0.17599999999999999</v>
      </c>
      <c r="C18" s="15">
        <v>0.16400000000000001</v>
      </c>
      <c r="D18" s="15">
        <v>0.16800000000000001</v>
      </c>
      <c r="E18" s="15">
        <f t="shared" si="0"/>
        <v>-4.5454545454545303E-2</v>
      </c>
      <c r="F18" s="6" t="str">
        <f t="shared" si="1"/>
        <v>Unfavourable</v>
      </c>
      <c r="G18" s="115" t="s">
        <v>331</v>
      </c>
      <c r="H18" s="66" t="s">
        <v>346</v>
      </c>
    </row>
    <row r="19" spans="1:8" ht="114">
      <c r="A19" t="s">
        <v>193</v>
      </c>
      <c r="B19" s="31"/>
      <c r="C19" s="15"/>
      <c r="D19" s="15">
        <v>1.27</v>
      </c>
      <c r="E19" s="15" t="str">
        <f t="shared" si="0"/>
        <v/>
      </c>
      <c r="F19" s="6" t="str">
        <f t="shared" si="1"/>
        <v/>
      </c>
      <c r="G19" s="115" t="s">
        <v>331</v>
      </c>
      <c r="H19" s="66" t="s">
        <v>347</v>
      </c>
    </row>
    <row r="20" spans="1:8" ht="171">
      <c r="A20" t="s">
        <v>279</v>
      </c>
      <c r="B20" s="20">
        <v>879522</v>
      </c>
      <c r="C20" s="21">
        <v>987452</v>
      </c>
      <c r="D20" s="21">
        <v>1049534</v>
      </c>
      <c r="E20" s="18">
        <f t="shared" si="0"/>
        <v>0.19330045183633837</v>
      </c>
      <c r="F20" s="8" t="str">
        <f t="shared" si="1"/>
        <v>Favourable</v>
      </c>
      <c r="G20" s="115" t="s">
        <v>331</v>
      </c>
      <c r="H20" s="66" t="s">
        <v>348</v>
      </c>
    </row>
    <row r="21" spans="1:8" ht="114">
      <c r="A21" t="s">
        <v>271</v>
      </c>
      <c r="B21" s="33">
        <v>1231687</v>
      </c>
      <c r="C21" s="33">
        <v>1409531</v>
      </c>
      <c r="D21" s="33">
        <v>1515616</v>
      </c>
      <c r="E21" s="34">
        <f t="shared" si="0"/>
        <v>0.2305204163070651</v>
      </c>
      <c r="F21" t="str">
        <f t="shared" si="1"/>
        <v>Favourable</v>
      </c>
      <c r="G21" t="s">
        <v>331</v>
      </c>
      <c r="H21" s="66" t="s">
        <v>349</v>
      </c>
    </row>
    <row r="22" spans="1:8" ht="213.75">
      <c r="A22" t="s">
        <v>350</v>
      </c>
      <c r="B22" s="35">
        <v>0.71407914510748272</v>
      </c>
      <c r="C22" s="35">
        <v>0.7005535883921673</v>
      </c>
      <c r="D22" s="35">
        <v>0.6924801532842092</v>
      </c>
      <c r="E22" s="34">
        <f t="shared" si="0"/>
        <v>-3.0247335986856805E-2</v>
      </c>
      <c r="F22" t="str">
        <f t="shared" si="1"/>
        <v>Unfavourable</v>
      </c>
      <c r="G22" t="s">
        <v>331</v>
      </c>
      <c r="H22" s="66" t="s">
        <v>351</v>
      </c>
    </row>
  </sheetData>
  <mergeCells count="1">
    <mergeCell ref="A1:G2"/>
  </mergeCells>
  <conditionalFormatting sqref="F5:F100">
    <cfRule type="expression" dxfId="13" priority="1">
      <formula>F5="Increase"</formula>
    </cfRule>
    <cfRule type="expression" dxfId="12" priority="2">
      <formula>F5="Decrease"</formula>
    </cfRule>
  </conditionalFormatting>
  <conditionalFormatting sqref="F5:F22">
    <cfRule type="expression" dxfId="11" priority="3">
      <formula>F5="Favourable"</formula>
    </cfRule>
    <cfRule type="expression" dxfId="10" priority="4">
      <formula>F5="Unfavourable"</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4"/>
  <sheetViews>
    <sheetView workbookViewId="0"/>
  </sheetViews>
  <sheetFormatPr defaultRowHeight="14.25"/>
  <cols>
    <col min="1" max="1" width="14" customWidth="1"/>
    <col min="2" max="3" width="16" customWidth="1"/>
    <col min="4" max="5" width="14" customWidth="1"/>
    <col min="6" max="6" width="15" customWidth="1"/>
    <col min="7" max="8" width="14" customWidth="1"/>
  </cols>
  <sheetData>
    <row r="1" spans="1:10" ht="30" customHeight="1">
      <c r="A1" s="145" t="s">
        <v>352</v>
      </c>
      <c r="B1" s="145"/>
      <c r="C1" s="145"/>
      <c r="D1" s="145"/>
      <c r="E1" s="145"/>
      <c r="F1" s="145"/>
      <c r="G1" s="145"/>
      <c r="H1" s="145"/>
    </row>
    <row r="2" spans="1:10" ht="30" customHeight="1">
      <c r="A2" s="145"/>
      <c r="B2" s="145"/>
      <c r="C2" s="145"/>
      <c r="D2" s="145"/>
      <c r="E2" s="145"/>
      <c r="F2" s="145"/>
      <c r="G2" s="145"/>
      <c r="H2" s="145"/>
    </row>
    <row r="4" spans="1:10" ht="30">
      <c r="A4" s="59" t="s">
        <v>353</v>
      </c>
      <c r="B4" s="60" t="s">
        <v>225</v>
      </c>
      <c r="C4" s="60" t="s">
        <v>229</v>
      </c>
      <c r="D4" s="60" t="s">
        <v>231</v>
      </c>
      <c r="E4" s="60" t="s">
        <v>183</v>
      </c>
      <c r="F4" s="60" t="s">
        <v>186</v>
      </c>
      <c r="G4" s="60" t="s">
        <v>281</v>
      </c>
      <c r="H4" s="61" t="s">
        <v>286</v>
      </c>
      <c r="I4" s="60" t="s">
        <v>354</v>
      </c>
      <c r="J4" s="61" t="s">
        <v>355</v>
      </c>
    </row>
    <row r="5" spans="1:10">
      <c r="A5" t="s">
        <v>244</v>
      </c>
      <c r="B5" s="28">
        <v>13485</v>
      </c>
      <c r="C5" s="10">
        <v>3582</v>
      </c>
      <c r="D5" s="36">
        <v>2.5</v>
      </c>
      <c r="E5" s="26">
        <v>0.13100000000000001</v>
      </c>
      <c r="F5" s="26">
        <v>0.61699999999999999</v>
      </c>
      <c r="G5" s="10">
        <v>813</v>
      </c>
      <c r="H5" s="27">
        <v>4.1999999999999997E-3</v>
      </c>
      <c r="I5" s="34"/>
      <c r="J5" s="34"/>
    </row>
    <row r="6" spans="1:10">
      <c r="A6" t="s">
        <v>245</v>
      </c>
      <c r="B6" s="29">
        <v>14154</v>
      </c>
      <c r="C6" s="9">
        <v>3950</v>
      </c>
      <c r="D6" s="13">
        <v>2.74</v>
      </c>
      <c r="E6" s="15">
        <v>0.14499999999999999</v>
      </c>
      <c r="F6" s="15">
        <v>0.58699999999999997</v>
      </c>
      <c r="G6" s="9">
        <v>920</v>
      </c>
      <c r="H6" s="16">
        <v>4.1000000000000003E-3</v>
      </c>
      <c r="I6" s="34">
        <f t="shared" ref="I6:I14" si="0">IFERROR(C6/C5-1,"")</f>
        <v>0.10273590173087666</v>
      </c>
      <c r="J6" s="34"/>
    </row>
    <row r="7" spans="1:10">
      <c r="A7" t="s">
        <v>246</v>
      </c>
      <c r="B7" s="29">
        <v>14631</v>
      </c>
      <c r="C7" s="9">
        <v>4486</v>
      </c>
      <c r="D7" s="13">
        <v>3.09</v>
      </c>
      <c r="E7" s="15">
        <v>0.155</v>
      </c>
      <c r="F7" s="15">
        <v>0.58799999999999997</v>
      </c>
      <c r="G7" s="9">
        <v>659</v>
      </c>
      <c r="H7" s="16">
        <v>2.7000000000000001E-3</v>
      </c>
      <c r="I7" s="34">
        <f t="shared" si="0"/>
        <v>0.13569620253164549</v>
      </c>
      <c r="J7" s="34"/>
    </row>
    <row r="8" spans="1:10">
      <c r="A8" t="s">
        <v>247</v>
      </c>
      <c r="B8" s="29">
        <v>15074</v>
      </c>
      <c r="C8" s="9">
        <v>4222</v>
      </c>
      <c r="D8" s="13">
        <v>2.91</v>
      </c>
      <c r="E8" s="15">
        <v>0.14299999999999999</v>
      </c>
      <c r="F8" s="15">
        <v>0.59799999999999998</v>
      </c>
      <c r="G8" s="9">
        <v>840</v>
      </c>
      <c r="H8" s="16">
        <v>3.5000000000000001E-3</v>
      </c>
      <c r="I8" s="34">
        <f t="shared" si="0"/>
        <v>-5.8849754792688391E-2</v>
      </c>
      <c r="J8" s="34"/>
    </row>
    <row r="9" spans="1:10">
      <c r="A9" t="s">
        <v>248</v>
      </c>
      <c r="B9" s="29">
        <v>16739</v>
      </c>
      <c r="C9" s="9">
        <v>5131</v>
      </c>
      <c r="D9" s="13">
        <v>3.54</v>
      </c>
      <c r="E9" s="15">
        <v>0.16800000000000001</v>
      </c>
      <c r="F9" s="15">
        <v>0.55300000000000005</v>
      </c>
      <c r="G9" s="9">
        <v>1050</v>
      </c>
      <c r="H9" s="16">
        <v>4.1999999999999997E-3</v>
      </c>
      <c r="I9" s="34">
        <f t="shared" si="0"/>
        <v>0.2153008053055423</v>
      </c>
      <c r="J9" s="34">
        <f t="shared" ref="J9:J14" si="1">IFERROR(C9/C5-1,"")</f>
        <v>0.43243997766610831</v>
      </c>
    </row>
    <row r="10" spans="1:10">
      <c r="A10" t="s">
        <v>249</v>
      </c>
      <c r="B10" s="29">
        <v>15672</v>
      </c>
      <c r="C10" s="9">
        <v>4390</v>
      </c>
      <c r="D10" s="13">
        <v>3.02</v>
      </c>
      <c r="E10" s="15">
        <v>0.14199999999999999</v>
      </c>
      <c r="F10" s="15">
        <v>0.55700000000000005</v>
      </c>
      <c r="G10" s="9">
        <v>1424</v>
      </c>
      <c r="H10" s="16">
        <v>5.7999999999999996E-3</v>
      </c>
      <c r="I10" s="34">
        <f t="shared" si="0"/>
        <v>-0.14441629312024951</v>
      </c>
      <c r="J10" s="34">
        <f t="shared" si="1"/>
        <v>0.11139240506329107</v>
      </c>
    </row>
    <row r="11" spans="1:10">
      <c r="A11" t="s">
        <v>250</v>
      </c>
      <c r="B11" s="29">
        <v>16985</v>
      </c>
      <c r="C11" s="9">
        <v>5414</v>
      </c>
      <c r="D11" s="13">
        <v>3.75</v>
      </c>
      <c r="E11" s="15">
        <v>0.17299999999999999</v>
      </c>
      <c r="F11" s="15">
        <v>0.54400000000000004</v>
      </c>
      <c r="G11" s="9">
        <v>881</v>
      </c>
      <c r="H11" s="16">
        <v>3.5000000000000001E-3</v>
      </c>
      <c r="I11" s="34">
        <f t="shared" si="0"/>
        <v>0.23325740318906596</v>
      </c>
      <c r="J11" s="34">
        <f t="shared" si="1"/>
        <v>0.20686580472581362</v>
      </c>
    </row>
    <row r="12" spans="1:10">
      <c r="A12" t="s">
        <v>251</v>
      </c>
      <c r="B12" s="29">
        <v>17209</v>
      </c>
      <c r="C12" s="9">
        <v>5434</v>
      </c>
      <c r="D12" s="13">
        <v>3.76</v>
      </c>
      <c r="E12" s="15">
        <v>0.16800000000000001</v>
      </c>
      <c r="F12" s="15">
        <v>0.54500000000000004</v>
      </c>
      <c r="G12" s="9">
        <v>1007</v>
      </c>
      <c r="H12" s="16">
        <v>3.8999999999999998E-3</v>
      </c>
      <c r="I12" s="34">
        <f t="shared" si="0"/>
        <v>3.6941263391208068E-3</v>
      </c>
      <c r="J12" s="34">
        <f t="shared" si="1"/>
        <v>0.2870677404073898</v>
      </c>
    </row>
    <row r="13" spans="1:10">
      <c r="A13" t="s">
        <v>252</v>
      </c>
      <c r="B13" s="29">
        <v>17960</v>
      </c>
      <c r="C13" s="9">
        <v>5785</v>
      </c>
      <c r="D13" s="13">
        <v>4.03</v>
      </c>
      <c r="E13" s="15">
        <v>0.17599999999999999</v>
      </c>
      <c r="F13" s="15">
        <v>0.52700000000000002</v>
      </c>
      <c r="G13" s="9">
        <v>1090</v>
      </c>
      <c r="H13" s="16">
        <v>4.1000000000000003E-3</v>
      </c>
      <c r="I13" s="34">
        <f t="shared" si="0"/>
        <v>6.4593301435406758E-2</v>
      </c>
      <c r="J13" s="34">
        <f t="shared" si="1"/>
        <v>0.12746053400896518</v>
      </c>
    </row>
    <row r="14" spans="1:10">
      <c r="A14" t="s">
        <v>123</v>
      </c>
      <c r="B14" s="20">
        <v>17453</v>
      </c>
      <c r="C14" s="21">
        <v>5509</v>
      </c>
      <c r="D14" s="24">
        <v>3.85</v>
      </c>
      <c r="E14" s="18">
        <v>0.17199999999999999</v>
      </c>
      <c r="F14" s="18">
        <v>0.54100000000000004</v>
      </c>
      <c r="G14" s="21">
        <v>912</v>
      </c>
      <c r="H14" s="19">
        <v>3.5000000000000001E-3</v>
      </c>
      <c r="I14" s="34">
        <f t="shared" si="0"/>
        <v>-4.7709593777009562E-2</v>
      </c>
      <c r="J14" s="34">
        <f t="shared" si="1"/>
        <v>0.25489749430523911</v>
      </c>
    </row>
    <row r="17" spans="1:10" ht="21.95" customHeight="1">
      <c r="A17" s="144" t="s">
        <v>356</v>
      </c>
      <c r="B17" s="144"/>
      <c r="C17" s="144"/>
      <c r="D17" s="144"/>
      <c r="E17" s="144"/>
      <c r="F17" s="144"/>
      <c r="G17" s="144"/>
      <c r="H17" s="144"/>
      <c r="I17" s="148"/>
      <c r="J17" s="148"/>
    </row>
    <row r="18" spans="1:10">
      <c r="A18" s="146" t="s">
        <v>357</v>
      </c>
      <c r="B18" s="146"/>
      <c r="C18" s="146"/>
      <c r="D18" s="146"/>
      <c r="E18" s="146"/>
      <c r="F18" s="146"/>
      <c r="G18" s="146"/>
      <c r="H18" s="146"/>
      <c r="I18" s="78"/>
      <c r="J18" s="78"/>
    </row>
    <row r="19" spans="1:10">
      <c r="A19" s="146"/>
      <c r="B19" s="146"/>
      <c r="C19" s="146"/>
      <c r="D19" s="146"/>
      <c r="E19" s="146"/>
      <c r="F19" s="146"/>
      <c r="G19" s="146"/>
      <c r="H19" s="146"/>
      <c r="I19" s="78"/>
      <c r="J19" s="78"/>
    </row>
    <row r="20" spans="1:10">
      <c r="A20" s="146"/>
      <c r="B20" s="146"/>
      <c r="C20" s="146"/>
      <c r="D20" s="146"/>
      <c r="E20" s="146"/>
      <c r="F20" s="146"/>
      <c r="G20" s="146"/>
      <c r="H20" s="146"/>
      <c r="I20" s="78"/>
      <c r="J20" s="78"/>
    </row>
    <row r="21" spans="1:10">
      <c r="A21" s="146"/>
      <c r="B21" s="146"/>
      <c r="C21" s="146"/>
      <c r="D21" s="146"/>
      <c r="E21" s="146"/>
      <c r="F21" s="146"/>
      <c r="G21" s="146"/>
      <c r="H21" s="146"/>
      <c r="I21" s="78"/>
      <c r="J21" s="78"/>
    </row>
    <row r="22" spans="1:10">
      <c r="A22" s="146"/>
      <c r="B22" s="146"/>
      <c r="C22" s="146"/>
      <c r="D22" s="146"/>
      <c r="E22" s="146"/>
      <c r="F22" s="146"/>
      <c r="G22" s="146"/>
      <c r="H22" s="146"/>
      <c r="I22" s="78"/>
      <c r="J22" s="78"/>
    </row>
    <row r="23" spans="1:10">
      <c r="A23" s="146"/>
      <c r="B23" s="146"/>
      <c r="C23" s="146"/>
      <c r="D23" s="146"/>
      <c r="E23" s="146"/>
      <c r="F23" s="146"/>
      <c r="G23" s="146"/>
      <c r="H23" s="146"/>
      <c r="I23" s="78"/>
      <c r="J23" s="78"/>
    </row>
    <row r="24" spans="1:10">
      <c r="A24" s="147"/>
      <c r="B24" s="147"/>
      <c r="C24" s="147"/>
      <c r="D24" s="147"/>
      <c r="E24" s="147"/>
      <c r="F24" s="147"/>
      <c r="G24" s="147"/>
      <c r="H24" s="147"/>
    </row>
  </sheetData>
  <mergeCells count="3">
    <mergeCell ref="A1:H2"/>
    <mergeCell ref="A18:H24"/>
    <mergeCell ref="A17:J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3"/>
  <sheetViews>
    <sheetView workbookViewId="0"/>
  </sheetViews>
  <sheetFormatPr defaultRowHeight="14.25"/>
  <cols>
    <col min="1" max="1" width="26" customWidth="1"/>
    <col min="2" max="4" width="15" customWidth="1"/>
    <col min="5" max="6" width="14" customWidth="1"/>
    <col min="7" max="7" width="45" customWidth="1"/>
  </cols>
  <sheetData>
    <row r="1" spans="1:8" ht="30" customHeight="1">
      <c r="A1" s="145" t="s">
        <v>358</v>
      </c>
      <c r="B1" s="145"/>
      <c r="C1" s="145"/>
      <c r="D1" s="145"/>
      <c r="E1" s="145"/>
      <c r="F1" s="145"/>
      <c r="G1" s="145"/>
    </row>
    <row r="2" spans="1:8" ht="30" customHeight="1">
      <c r="A2" s="145"/>
      <c r="B2" s="145"/>
      <c r="C2" s="145"/>
      <c r="D2" s="145"/>
      <c r="E2" s="145"/>
      <c r="F2" s="145"/>
      <c r="G2" s="145"/>
    </row>
    <row r="4" spans="1:8" ht="15">
      <c r="A4" s="79" t="s">
        <v>359</v>
      </c>
      <c r="B4" s="118" t="s">
        <v>105</v>
      </c>
    </row>
    <row r="6" spans="1:8" ht="30">
      <c r="A6" s="59" t="s">
        <v>313</v>
      </c>
      <c r="B6" s="60" t="s">
        <v>225</v>
      </c>
      <c r="C6" s="60" t="s">
        <v>229</v>
      </c>
      <c r="D6" s="60" t="s">
        <v>161</v>
      </c>
      <c r="E6" s="60" t="s">
        <v>183</v>
      </c>
      <c r="F6" s="60" t="s">
        <v>186</v>
      </c>
      <c r="G6" s="61" t="s">
        <v>360</v>
      </c>
      <c r="H6" s="61" t="s">
        <v>330</v>
      </c>
    </row>
    <row r="7" spans="1:8" ht="142.5">
      <c r="A7" t="s">
        <v>314</v>
      </c>
      <c r="B7" s="28">
        <f>IFERROR(SUMIFS('10_Raw_Segment_Results'!$C:$C,'10_Raw_Segment_Results'!$A:$A,$B$4,'10_Raw_Segment_Results'!$B:$B,$A7),"")</f>
        <v>19854</v>
      </c>
      <c r="C7" s="10">
        <f>IFERROR(SUMIFS('10_Raw_Segment_Results'!$H:$H,'10_Raw_Segment_Results'!$A:$A,$B$4,'10_Raw_Segment_Results'!$B:$B,$A7),"")</f>
        <v>7105</v>
      </c>
      <c r="D7" s="10">
        <f>IFERROR(SUMIFS('10_Raw_Segment_Results'!$F:$F,'10_Raw_Segment_Results'!$A:$A,$B$4,'10_Raw_Segment_Results'!$B:$B,$A7),"")</f>
        <v>2105</v>
      </c>
      <c r="E7" s="26">
        <f>IF(COUNTIFS('10_Raw_Segment_Results'!$A$5:$A$34,$B$4,'10_Raw_Segment_Results'!$B$5:$B$34,$A7,'10_Raw_Segment_Results'!$I$5:$I$34,"&lt;&gt;")=0,"",SUMIFS('10_Raw_Segment_Results'!$I$5:$I$34,'10_Raw_Segment_Results'!$A$5:$A$34,$B$4,'10_Raw_Segment_Results'!$B$5:$B$34,$A7))</f>
        <v>0.249</v>
      </c>
      <c r="F7" s="27">
        <f>IF(COUNTIFS('10_Raw_Segment_Results'!$A$5:$A$34,$B$4,'10_Raw_Segment_Results'!$B$5:$B$34,$A7,'10_Raw_Segment_Results'!$J$5:$J$34,"&lt;&gt;")=0,"",SUMIFS('10_Raw_Segment_Results'!$J$5:$J$34,'10_Raw_Segment_Results'!$A$5:$A$34,$B$4,'10_Raw_Segment_Results'!$B$5:$B$34,$A7))</f>
        <v>0.40300000000000002</v>
      </c>
      <c r="G7" s="119">
        <f t="shared" ref="G7:G12" si="0">IFERROR(B7/SUM($B$7:$B$12),"")</f>
        <v>0.29808572929960214</v>
      </c>
      <c r="H7" s="66" t="s">
        <v>361</v>
      </c>
    </row>
    <row r="8" spans="1:8" ht="142.5">
      <c r="A8" t="s">
        <v>316</v>
      </c>
      <c r="B8" s="29">
        <f>IFERROR(SUMIFS('10_Raw_Segment_Results'!$C:$C,'10_Raw_Segment_Results'!$A:$A,$B$4,'10_Raw_Segment_Results'!$B:$B,$A8),"")</f>
        <v>8562</v>
      </c>
      <c r="C8" s="9">
        <f>IFERROR(SUMIFS('10_Raw_Segment_Results'!$H:$H,'10_Raw_Segment_Results'!$A:$A,$B$4,'10_Raw_Segment_Results'!$B:$B,$A8),"")</f>
        <v>3020</v>
      </c>
      <c r="D8" s="9">
        <f>IFERROR(SUMIFS('10_Raw_Segment_Results'!$F:$F,'10_Raw_Segment_Results'!$A:$A,$B$4,'10_Raw_Segment_Results'!$B:$B,$A8),"")</f>
        <v>1550</v>
      </c>
      <c r="E8" s="15">
        <f>IF(COUNTIFS('10_Raw_Segment_Results'!$A$5:$A$34,$B$4,'10_Raw_Segment_Results'!$B$5:$B$34,$A8,'10_Raw_Segment_Results'!$I$5:$I$34,"&lt;&gt;")=0,"",SUMIFS('10_Raw_Segment_Results'!$I$5:$I$34,'10_Raw_Segment_Results'!$A$5:$A$34,$B$4,'10_Raw_Segment_Results'!$B$5:$B$34,$A8))</f>
        <v>0.14899999999999999</v>
      </c>
      <c r="F8" s="16">
        <f>IF(COUNTIFS('10_Raw_Segment_Results'!$A$5:$A$34,$B$4,'10_Raw_Segment_Results'!$B$5:$B$34,$A8,'10_Raw_Segment_Results'!$J$5:$J$34,"&lt;&gt;")=0,"",SUMIFS('10_Raw_Segment_Results'!$J$5:$J$34,'10_Raw_Segment_Results'!$A$5:$A$34,$B$4,'10_Raw_Segment_Results'!$B$5:$B$34,$A8))</f>
        <v>0.33100000000000002</v>
      </c>
      <c r="G8" s="120">
        <f t="shared" si="0"/>
        <v>0.12854890773965919</v>
      </c>
      <c r="H8" s="66" t="s">
        <v>362</v>
      </c>
    </row>
    <row r="9" spans="1:8" ht="185.25">
      <c r="A9" t="s">
        <v>317</v>
      </c>
      <c r="B9" s="29">
        <f>IFERROR(SUMIFS('10_Raw_Segment_Results'!$C:$C,'10_Raw_Segment_Results'!$A:$A,$B$4,'10_Raw_Segment_Results'!$B:$B,$A9),"")</f>
        <v>22378</v>
      </c>
      <c r="C9" s="9">
        <f>IFERROR(SUMIFS('10_Raw_Segment_Results'!$H:$H,'10_Raw_Segment_Results'!$A:$A,$B$4,'10_Raw_Segment_Results'!$B:$B,$A9),"")</f>
        <v>4289</v>
      </c>
      <c r="D9" s="9">
        <f>IFERROR(SUMIFS('10_Raw_Segment_Results'!$F:$F,'10_Raw_Segment_Results'!$A:$A,$B$4,'10_Raw_Segment_Results'!$B:$B,$A9),"")</f>
        <v>120</v>
      </c>
      <c r="E9" s="15">
        <f>IF(COUNTIFS('10_Raw_Segment_Results'!$A$5:$A$34,$B$4,'10_Raw_Segment_Results'!$B$5:$B$34,$A9,'10_Raw_Segment_Results'!$I$5:$I$34,"&lt;&gt;")=0,"",SUMIFS('10_Raw_Segment_Results'!$I$5:$I$34,'10_Raw_Segment_Results'!$A$5:$A$34,$B$4,'10_Raw_Segment_Results'!$B$5:$B$34,$A9))</f>
        <v>0.16600000000000001</v>
      </c>
      <c r="F9" s="16" t="str">
        <f>IF(COUNTIFS('10_Raw_Segment_Results'!$A$5:$A$34,$B$4,'10_Raw_Segment_Results'!$B$5:$B$34,$A9,'10_Raw_Segment_Results'!$J$5:$J$34,"&lt;&gt;")=0,"",SUMIFS('10_Raw_Segment_Results'!$J$5:$J$34,'10_Raw_Segment_Results'!$A$5:$A$34,$B$4,'10_Raw_Segment_Results'!$B$5:$B$34,$A9))</f>
        <v/>
      </c>
      <c r="G9" s="120">
        <f t="shared" si="0"/>
        <v>0.33598078222355682</v>
      </c>
      <c r="H9" s="66" t="s">
        <v>363</v>
      </c>
    </row>
    <row r="10" spans="1:8" ht="213.75">
      <c r="A10" t="s">
        <v>318</v>
      </c>
      <c r="B10" s="29">
        <f>IFERROR(SUMIFS('10_Raw_Segment_Results'!$C:$C,'10_Raw_Segment_Results'!$A:$A,$B$4,'10_Raw_Segment_Results'!$B:$B,$A10),"")</f>
        <v>1321</v>
      </c>
      <c r="C10" s="9">
        <f>IFERROR(SUMIFS('10_Raw_Segment_Results'!$H:$H,'10_Raw_Segment_Results'!$A:$A,$B$4,'10_Raw_Segment_Results'!$B:$B,$A10),"")</f>
        <v>828</v>
      </c>
      <c r="D10" s="9">
        <f>IFERROR(SUMIFS('10_Raw_Segment_Results'!$F:$F,'10_Raw_Segment_Results'!$A:$A,$B$4,'10_Raw_Segment_Results'!$B:$B,$A10),"")</f>
        <v>0</v>
      </c>
      <c r="E10" s="15">
        <f>IF(COUNTIFS('10_Raw_Segment_Results'!$A$5:$A$34,$B$4,'10_Raw_Segment_Results'!$B$5:$B$34,$A10,'10_Raw_Segment_Results'!$I$5:$I$34,"&lt;&gt;")=0,"",SUMIFS('10_Raw_Segment_Results'!$I$5:$I$34,'10_Raw_Segment_Results'!$A$5:$A$34,$B$4,'10_Raw_Segment_Results'!$B$5:$B$34,$A10))</f>
        <v>0.40699999999999997</v>
      </c>
      <c r="F10" s="16" t="str">
        <f>IF(COUNTIFS('10_Raw_Segment_Results'!$A$5:$A$34,$B$4,'10_Raw_Segment_Results'!$B$5:$B$34,$A10,'10_Raw_Segment_Results'!$J$5:$J$34,"&lt;&gt;")=0,"",SUMIFS('10_Raw_Segment_Results'!$J$5:$J$34,'10_Raw_Segment_Results'!$A$5:$A$34,$B$4,'10_Raw_Segment_Results'!$B$5:$B$34,$A10))</f>
        <v/>
      </c>
      <c r="G10" s="120">
        <f t="shared" si="0"/>
        <v>1.9833345844906539E-2</v>
      </c>
      <c r="H10" s="66" t="s">
        <v>364</v>
      </c>
    </row>
    <row r="11" spans="1:8" ht="171">
      <c r="A11" t="s">
        <v>319</v>
      </c>
      <c r="B11" s="29">
        <f>IFERROR(SUMIFS('10_Raw_Segment_Results'!$C:$C,'10_Raw_Segment_Results'!$A:$A,$B$4,'10_Raw_Segment_Results'!$B:$B,$A11),"")</f>
        <v>14426</v>
      </c>
      <c r="C11" s="9">
        <f>IFERROR(SUMIFS('10_Raw_Segment_Results'!$H:$H,'10_Raw_Segment_Results'!$A:$A,$B$4,'10_Raw_Segment_Results'!$B:$B,$A11),"")</f>
        <v>5393</v>
      </c>
      <c r="D11" s="9">
        <f>IFERROR(SUMIFS('10_Raw_Segment_Results'!$F:$F,'10_Raw_Segment_Results'!$A:$A,$B$4,'10_Raw_Segment_Results'!$B:$B,$A11),"")</f>
        <v>587</v>
      </c>
      <c r="E11" s="15">
        <f>IF(COUNTIFS('10_Raw_Segment_Results'!$A$5:$A$34,$B$4,'10_Raw_Segment_Results'!$B$5:$B$34,$A11,'10_Raw_Segment_Results'!$I$5:$I$34,"&lt;&gt;")=0,"",SUMIFS('10_Raw_Segment_Results'!$I$5:$I$34,'10_Raw_Segment_Results'!$A$5:$A$34,$B$4,'10_Raw_Segment_Results'!$B$5:$B$34,$A11))</f>
        <v>0.13700000000000001</v>
      </c>
      <c r="F11" s="16" t="str">
        <f>IF(COUNTIFS('10_Raw_Segment_Results'!$A$5:$A$34,$B$4,'10_Raw_Segment_Results'!$B$5:$B$34,$A11,'10_Raw_Segment_Results'!$J$5:$J$34,"&lt;&gt;")=0,"",SUMIFS('10_Raw_Segment_Results'!$J$5:$J$34,'10_Raw_Segment_Results'!$A$5:$A$34,$B$4,'10_Raw_Segment_Results'!$B$5:$B$34,$A11))</f>
        <v/>
      </c>
      <c r="G11" s="120">
        <f t="shared" si="0"/>
        <v>0.21659034607011485</v>
      </c>
      <c r="H11" s="66" t="s">
        <v>365</v>
      </c>
    </row>
    <row r="12" spans="1:8" ht="199.5">
      <c r="A12" t="s">
        <v>320</v>
      </c>
      <c r="B12" s="20">
        <f>IFERROR(SUMIFS('10_Raw_Segment_Results'!$C:$C,'10_Raw_Segment_Results'!$A:$A,$B$4,'10_Raw_Segment_Results'!$B:$B,$A12),"")</f>
        <v>64</v>
      </c>
      <c r="C12" s="21">
        <f>IFERROR(SUMIFS('10_Raw_Segment_Results'!$H:$H,'10_Raw_Segment_Results'!$A:$A,$B$4,'10_Raw_Segment_Results'!$B:$B,$A12),"")</f>
        <v>-266</v>
      </c>
      <c r="D12" s="21">
        <f>IFERROR(SUMIFS('10_Raw_Segment_Results'!$F:$F,'10_Raw_Segment_Results'!$A:$A,$B$4,'10_Raw_Segment_Results'!$B:$B,$A12),"")</f>
        <v>0</v>
      </c>
      <c r="E12" s="18" t="str">
        <f>IF(COUNTIFS('10_Raw_Segment_Results'!$A$5:$A$34,$B$4,'10_Raw_Segment_Results'!$B$5:$B$34,$A12,'10_Raw_Segment_Results'!$I$5:$I$34,"&lt;&gt;")=0,"",SUMIFS('10_Raw_Segment_Results'!$I$5:$I$34,'10_Raw_Segment_Results'!$A$5:$A$34,$B$4,'10_Raw_Segment_Results'!$B$5:$B$34,$A12))</f>
        <v/>
      </c>
      <c r="F12" s="19" t="str">
        <f>IF(COUNTIFS('10_Raw_Segment_Results'!$A$5:$A$34,$B$4,'10_Raw_Segment_Results'!$B$5:$B$34,$A12,'10_Raw_Segment_Results'!$J$5:$J$34,"&lt;&gt;")=0,"",SUMIFS('10_Raw_Segment_Results'!$J$5:$J$34,'10_Raw_Segment_Results'!$A$5:$A$34,$B$4,'10_Raw_Segment_Results'!$B$5:$B$34,$A12))</f>
        <v/>
      </c>
      <c r="G12" s="121">
        <f t="shared" si="0"/>
        <v>9.6088882216049845E-4</v>
      </c>
      <c r="H12" s="66" t="s">
        <v>366</v>
      </c>
    </row>
    <row r="13" spans="1:8">
      <c r="B13" s="20"/>
      <c r="C13" s="21"/>
      <c r="D13" s="21"/>
      <c r="E13" s="18"/>
      <c r="F13" s="19"/>
      <c r="G13" s="115"/>
    </row>
  </sheetData>
  <mergeCells count="1">
    <mergeCell ref="A1:G2"/>
  </mergeCells>
  <dataValidations count="1">
    <dataValidation type="list" sqref="B4" xr:uid="{00000000-0002-0000-1000-000000000000}">
      <formula1>"FY2023,FY2024,FY2025,Q1 2026,Q2 2026"</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5"/>
  <sheetViews>
    <sheetView workbookViewId="0"/>
  </sheetViews>
  <sheetFormatPr defaultRowHeight="14.25"/>
  <cols>
    <col min="1" max="1" width="24" customWidth="1"/>
    <col min="2" max="3" width="15" customWidth="1"/>
    <col min="4" max="4" width="24" customWidth="1"/>
    <col min="5" max="7" width="14" customWidth="1"/>
    <col min="8" max="8" width="3" customWidth="1"/>
    <col min="9" max="9" width="24" customWidth="1"/>
    <col min="10" max="13" width="14" customWidth="1"/>
    <col min="14" max="14" width="3" customWidth="1"/>
  </cols>
  <sheetData>
    <row r="1" spans="1:14" ht="30" customHeight="1">
      <c r="A1" s="139" t="s">
        <v>367</v>
      </c>
      <c r="B1" s="139"/>
      <c r="C1" s="139"/>
      <c r="D1" s="139"/>
      <c r="E1" s="139"/>
      <c r="F1" s="139"/>
      <c r="G1" s="139"/>
      <c r="H1" s="139"/>
      <c r="I1" s="139"/>
      <c r="J1" s="139"/>
      <c r="K1" s="139"/>
      <c r="L1" s="139"/>
      <c r="M1" s="58"/>
      <c r="N1" s="58"/>
    </row>
    <row r="2" spans="1:14" ht="30" customHeight="1">
      <c r="A2" s="139"/>
      <c r="B2" s="139"/>
      <c r="C2" s="139"/>
      <c r="D2" s="139"/>
      <c r="E2" s="139"/>
      <c r="F2" s="139"/>
      <c r="G2" s="139"/>
      <c r="H2" s="139"/>
      <c r="I2" s="139"/>
      <c r="J2" s="139"/>
      <c r="K2" s="139"/>
      <c r="L2" s="139"/>
      <c r="M2" s="58"/>
      <c r="N2" s="58"/>
    </row>
    <row r="4" spans="1:14" ht="21.95" customHeight="1">
      <c r="A4" s="149" t="s">
        <v>368</v>
      </c>
      <c r="B4" s="150" t="s">
        <v>369</v>
      </c>
      <c r="C4" s="144"/>
      <c r="D4" s="149" t="s">
        <v>217</v>
      </c>
      <c r="E4" s="151" t="s">
        <v>219</v>
      </c>
      <c r="F4" s="151" t="s">
        <v>220</v>
      </c>
      <c r="G4" s="61" t="s">
        <v>105</v>
      </c>
      <c r="I4" s="59" t="s">
        <v>217</v>
      </c>
      <c r="J4" s="59" t="s">
        <v>219</v>
      </c>
      <c r="K4" s="60" t="s">
        <v>220</v>
      </c>
      <c r="L4" s="61" t="s">
        <v>105</v>
      </c>
    </row>
    <row r="5" spans="1:14" ht="15">
      <c r="A5" s="59" t="s">
        <v>229</v>
      </c>
      <c r="B5" s="122">
        <v>5509</v>
      </c>
      <c r="D5" t="s">
        <v>225</v>
      </c>
      <c r="E5" s="33">
        <v>51464</v>
      </c>
      <c r="F5" s="33">
        <v>57344</v>
      </c>
      <c r="G5" s="33">
        <v>66605</v>
      </c>
      <c r="I5" t="s">
        <v>183</v>
      </c>
      <c r="J5" s="34">
        <v>0.14299999999999999</v>
      </c>
      <c r="K5" s="34">
        <v>0.14399999999999999</v>
      </c>
      <c r="L5" s="34">
        <v>0.16300000000000001</v>
      </c>
    </row>
    <row r="6" spans="1:14">
      <c r="A6" t="s">
        <v>231</v>
      </c>
      <c r="B6" s="40">
        <v>3.85</v>
      </c>
      <c r="D6" t="s">
        <v>229</v>
      </c>
      <c r="E6" s="33">
        <v>14612</v>
      </c>
      <c r="F6" s="33">
        <v>16240</v>
      </c>
      <c r="G6" s="33">
        <v>20369</v>
      </c>
      <c r="I6" t="s">
        <v>186</v>
      </c>
      <c r="J6" s="34">
        <v>0.59899999999999998</v>
      </c>
      <c r="K6" s="34">
        <v>0.59699999999999998</v>
      </c>
      <c r="L6" s="34">
        <v>0.54900000000000004</v>
      </c>
    </row>
    <row r="7" spans="1:14">
      <c r="A7" t="s">
        <v>183</v>
      </c>
      <c r="B7" s="41">
        <v>0.17199999999999999</v>
      </c>
      <c r="E7" s="34"/>
      <c r="F7" s="34"/>
      <c r="G7" s="34"/>
      <c r="K7" s="33"/>
      <c r="L7" s="33"/>
    </row>
    <row r="8" spans="1:14">
      <c r="A8" t="s">
        <v>186</v>
      </c>
      <c r="B8" s="41">
        <v>0.54100000000000004</v>
      </c>
      <c r="E8" s="34"/>
      <c r="F8" s="34"/>
      <c r="G8" s="34"/>
      <c r="K8" s="33"/>
      <c r="L8" s="33"/>
    </row>
    <row r="9" spans="1:14">
      <c r="A9" t="s">
        <v>303</v>
      </c>
      <c r="B9" s="41">
        <v>0.13500000000000001</v>
      </c>
      <c r="K9" s="33"/>
      <c r="L9" s="33"/>
    </row>
    <row r="10" spans="1:14">
      <c r="A10" t="s">
        <v>281</v>
      </c>
      <c r="B10" s="42">
        <v>912</v>
      </c>
      <c r="K10" s="33"/>
      <c r="L10" s="33"/>
    </row>
    <row r="13" spans="1:14" ht="21.95" customHeight="1">
      <c r="A13" s="149" t="s">
        <v>353</v>
      </c>
      <c r="B13" s="151" t="s">
        <v>229</v>
      </c>
      <c r="C13" s="150" t="s">
        <v>281</v>
      </c>
      <c r="D13" s="151"/>
      <c r="E13" s="59" t="s">
        <v>353</v>
      </c>
      <c r="F13" s="151" t="s">
        <v>183</v>
      </c>
      <c r="G13" s="150" t="s">
        <v>186</v>
      </c>
      <c r="H13" s="150"/>
      <c r="I13" s="149" t="s">
        <v>312</v>
      </c>
      <c r="J13" s="151" t="s">
        <v>370</v>
      </c>
      <c r="K13" s="151" t="s">
        <v>288</v>
      </c>
      <c r="L13" s="60" t="s">
        <v>303</v>
      </c>
      <c r="M13" s="61" t="s">
        <v>305</v>
      </c>
    </row>
    <row r="14" spans="1:14" ht="15">
      <c r="A14" s="59" t="s">
        <v>244</v>
      </c>
      <c r="B14" s="123">
        <v>3582</v>
      </c>
      <c r="C14" s="123">
        <v>813</v>
      </c>
      <c r="D14" s="124"/>
      <c r="E14" s="34" t="s">
        <v>244</v>
      </c>
      <c r="F14" s="125">
        <v>0.13100000000000001</v>
      </c>
      <c r="G14" s="126">
        <v>0.61699999999999999</v>
      </c>
      <c r="H14" s="126"/>
      <c r="I14" s="60" t="s">
        <v>219</v>
      </c>
      <c r="J14" s="126">
        <v>2.8999999999999998E-3</v>
      </c>
      <c r="K14" s="124">
        <v>4.1999999999999997E-3</v>
      </c>
      <c r="L14" s="34">
        <v>0.14499999999999999</v>
      </c>
      <c r="M14" s="34">
        <v>0.17599999999999999</v>
      </c>
    </row>
    <row r="15" spans="1:14">
      <c r="A15" t="s">
        <v>245</v>
      </c>
      <c r="B15" s="28">
        <v>3950</v>
      </c>
      <c r="C15" s="10">
        <v>920</v>
      </c>
      <c r="D15" s="27"/>
      <c r="E15" s="34" t="s">
        <v>245</v>
      </c>
      <c r="F15" s="34">
        <v>0.14499999999999999</v>
      </c>
      <c r="G15" s="43">
        <v>0.58699999999999997</v>
      </c>
      <c r="H15" s="26"/>
      <c r="I15" s="26" t="s">
        <v>220</v>
      </c>
      <c r="J15" s="26">
        <v>3.5000000000000001E-3</v>
      </c>
      <c r="K15" s="27">
        <v>5.8999999999999999E-3</v>
      </c>
      <c r="L15" s="34">
        <v>0.13200000000000001</v>
      </c>
      <c r="M15" s="34">
        <v>0.16400000000000001</v>
      </c>
    </row>
    <row r="16" spans="1:14">
      <c r="A16" t="s">
        <v>246</v>
      </c>
      <c r="B16" s="29">
        <v>4486</v>
      </c>
      <c r="C16" s="9">
        <v>659</v>
      </c>
      <c r="D16" s="16"/>
      <c r="E16" s="34" t="s">
        <v>246</v>
      </c>
      <c r="F16" s="34">
        <v>0.155</v>
      </c>
      <c r="G16" s="31">
        <v>0.58799999999999997</v>
      </c>
      <c r="H16" s="15"/>
      <c r="I16" s="15" t="s">
        <v>105</v>
      </c>
      <c r="J16" s="15">
        <v>4.3E-3</v>
      </c>
      <c r="K16" s="16">
        <v>8.3000000000000001E-3</v>
      </c>
      <c r="L16" s="34">
        <v>0.13500000000000001</v>
      </c>
      <c r="M16" s="34">
        <v>0.16800000000000001</v>
      </c>
    </row>
    <row r="17" spans="1:13">
      <c r="A17" t="s">
        <v>247</v>
      </c>
      <c r="B17" s="29">
        <v>4222</v>
      </c>
      <c r="C17" s="9">
        <v>840</v>
      </c>
      <c r="D17" s="16"/>
      <c r="E17" s="34" t="s">
        <v>247</v>
      </c>
      <c r="F17" s="34">
        <v>0.14299999999999999</v>
      </c>
      <c r="G17" s="31">
        <v>0.59799999999999998</v>
      </c>
      <c r="H17" s="15"/>
      <c r="I17" s="15" t="s">
        <v>252</v>
      </c>
      <c r="J17" s="15">
        <v>4.1000000000000003E-3</v>
      </c>
      <c r="K17" s="16">
        <v>8.6E-3</v>
      </c>
      <c r="L17" s="34">
        <v>0.13700000000000001</v>
      </c>
      <c r="M17" s="34">
        <v>0.16800000000000001</v>
      </c>
    </row>
    <row r="18" spans="1:13">
      <c r="A18" t="s">
        <v>248</v>
      </c>
      <c r="B18" s="20">
        <v>5131</v>
      </c>
      <c r="C18" s="21">
        <v>1050</v>
      </c>
      <c r="D18" s="19"/>
      <c r="E18" s="34" t="s">
        <v>248</v>
      </c>
      <c r="F18" s="34">
        <v>0.16800000000000001</v>
      </c>
      <c r="G18" s="31">
        <v>0.55300000000000005</v>
      </c>
      <c r="H18" s="15"/>
      <c r="I18" s="15" t="s">
        <v>123</v>
      </c>
      <c r="J18" s="15">
        <v>3.5000000000000001E-3</v>
      </c>
      <c r="K18" s="16">
        <v>8.9999999999999993E-3</v>
      </c>
      <c r="L18" s="34">
        <v>0.13500000000000001</v>
      </c>
      <c r="M18" s="34">
        <v>0.16900000000000001</v>
      </c>
    </row>
    <row r="19" spans="1:13">
      <c r="A19" t="s">
        <v>249</v>
      </c>
      <c r="B19" s="33">
        <v>4390</v>
      </c>
      <c r="C19" s="33">
        <v>1424</v>
      </c>
      <c r="D19" s="34"/>
      <c r="E19" s="34" t="s">
        <v>249</v>
      </c>
      <c r="F19" s="34">
        <v>0.14199999999999999</v>
      </c>
      <c r="G19" s="31">
        <v>0.55700000000000005</v>
      </c>
      <c r="H19" s="15"/>
      <c r="I19" s="15"/>
      <c r="J19" s="15"/>
      <c r="K19" s="16"/>
      <c r="L19" s="34"/>
      <c r="M19" s="34"/>
    </row>
    <row r="20" spans="1:13">
      <c r="A20" t="s">
        <v>250</v>
      </c>
      <c r="B20" s="33">
        <v>5414</v>
      </c>
      <c r="C20" s="33">
        <v>881</v>
      </c>
      <c r="D20" s="34"/>
      <c r="E20" s="34" t="s">
        <v>250</v>
      </c>
      <c r="F20" s="34">
        <v>0.17299999999999999</v>
      </c>
      <c r="G20" s="31">
        <v>0.54400000000000004</v>
      </c>
      <c r="H20" s="15"/>
      <c r="I20" s="15"/>
      <c r="J20" s="15"/>
      <c r="K20" s="16"/>
      <c r="L20" s="34"/>
      <c r="M20" s="34"/>
    </row>
    <row r="21" spans="1:13">
      <c r="A21" t="s">
        <v>251</v>
      </c>
      <c r="B21" s="33">
        <v>5434</v>
      </c>
      <c r="C21" s="33">
        <v>1007</v>
      </c>
      <c r="D21" s="34"/>
      <c r="E21" s="34" t="s">
        <v>251</v>
      </c>
      <c r="F21" s="34">
        <v>0.16800000000000001</v>
      </c>
      <c r="G21" s="31">
        <v>0.54500000000000004</v>
      </c>
      <c r="H21" s="15"/>
      <c r="I21" s="15"/>
      <c r="J21" s="15"/>
      <c r="K21" s="16"/>
      <c r="L21" s="34"/>
      <c r="M21" s="34"/>
    </row>
    <row r="22" spans="1:13">
      <c r="A22" t="s">
        <v>252</v>
      </c>
      <c r="B22" s="33">
        <v>5785</v>
      </c>
      <c r="C22" s="33">
        <v>1090</v>
      </c>
      <c r="D22" s="34"/>
      <c r="E22" s="34" t="s">
        <v>252</v>
      </c>
      <c r="F22" s="34">
        <v>0.17599999999999999</v>
      </c>
      <c r="G22" s="31">
        <v>0.52700000000000002</v>
      </c>
      <c r="H22" s="15"/>
      <c r="I22" s="15"/>
      <c r="J22" s="15"/>
      <c r="K22" s="16"/>
      <c r="L22" s="34"/>
      <c r="M22" s="34"/>
    </row>
    <row r="23" spans="1:13">
      <c r="A23" t="s">
        <v>123</v>
      </c>
      <c r="B23" s="33">
        <v>5509</v>
      </c>
      <c r="C23" s="33">
        <v>912</v>
      </c>
      <c r="D23" s="34"/>
      <c r="E23" s="34" t="s">
        <v>123</v>
      </c>
      <c r="F23" s="34">
        <v>0.17199999999999999</v>
      </c>
      <c r="G23" s="31">
        <v>0.54100000000000004</v>
      </c>
      <c r="H23" s="15"/>
      <c r="I23" s="15"/>
      <c r="J23" s="15"/>
      <c r="K23" s="16"/>
      <c r="L23" s="34"/>
      <c r="M23" s="34"/>
    </row>
    <row r="24" spans="1:13">
      <c r="G24" s="20"/>
      <c r="H24" s="21"/>
      <c r="I24" s="18"/>
      <c r="J24" s="18"/>
      <c r="K24" s="22"/>
    </row>
    <row r="27" spans="1:13" ht="21.95" customHeight="1">
      <c r="A27" s="149" t="s">
        <v>313</v>
      </c>
      <c r="B27" s="151" t="s">
        <v>371</v>
      </c>
      <c r="C27" s="150" t="s">
        <v>372</v>
      </c>
      <c r="D27" s="144"/>
      <c r="F27" s="144"/>
      <c r="G27" s="144"/>
      <c r="H27" s="144"/>
      <c r="I27" s="144"/>
      <c r="J27" s="144"/>
      <c r="K27" s="144"/>
    </row>
    <row r="28" spans="1:13" ht="15">
      <c r="A28" s="59" t="s">
        <v>314</v>
      </c>
      <c r="B28" s="123">
        <v>19854</v>
      </c>
      <c r="C28" s="123">
        <v>7105</v>
      </c>
      <c r="D28" s="61"/>
      <c r="F28" s="59"/>
      <c r="G28" s="60"/>
      <c r="H28" s="60"/>
      <c r="I28" s="60"/>
      <c r="J28" s="60"/>
      <c r="K28" s="61"/>
    </row>
    <row r="29" spans="1:13">
      <c r="A29" t="s">
        <v>316</v>
      </c>
      <c r="B29" s="28">
        <v>8562</v>
      </c>
      <c r="C29" s="10">
        <v>3020</v>
      </c>
      <c r="D29" s="11"/>
      <c r="F29" s="3"/>
      <c r="G29" s="10"/>
      <c r="H29" s="10"/>
      <c r="I29" s="10"/>
      <c r="J29" s="26"/>
      <c r="K29" s="27"/>
    </row>
    <row r="30" spans="1:13">
      <c r="A30" t="s">
        <v>317</v>
      </c>
      <c r="B30" s="29">
        <v>22378</v>
      </c>
      <c r="C30" s="9">
        <v>4289</v>
      </c>
      <c r="D30" s="12"/>
      <c r="F30" s="5"/>
      <c r="G30" s="9"/>
      <c r="H30" s="9"/>
      <c r="I30" s="9"/>
      <c r="J30" s="15"/>
      <c r="K30" s="16"/>
    </row>
    <row r="31" spans="1:13">
      <c r="A31" t="s">
        <v>318</v>
      </c>
      <c r="B31" s="29">
        <v>1321</v>
      </c>
      <c r="C31" s="9">
        <v>828</v>
      </c>
      <c r="D31" s="16"/>
      <c r="F31" s="5"/>
      <c r="G31" s="9"/>
      <c r="H31" s="9"/>
      <c r="I31" s="9"/>
      <c r="J31" s="15"/>
      <c r="K31" s="16"/>
    </row>
    <row r="32" spans="1:13">
      <c r="A32" t="s">
        <v>319</v>
      </c>
      <c r="B32" s="29">
        <v>14426</v>
      </c>
      <c r="C32" s="9">
        <v>5393</v>
      </c>
      <c r="D32" s="16"/>
      <c r="F32" s="5"/>
      <c r="G32" s="9"/>
      <c r="H32" s="9"/>
      <c r="I32" s="9"/>
      <c r="J32" s="15"/>
      <c r="K32" s="16"/>
    </row>
    <row r="33" spans="1:11">
      <c r="A33" t="s">
        <v>320</v>
      </c>
      <c r="B33" s="29">
        <v>64</v>
      </c>
      <c r="C33" s="9">
        <v>-266</v>
      </c>
      <c r="D33" s="16"/>
      <c r="F33" s="5"/>
      <c r="G33" s="9"/>
      <c r="H33" s="9"/>
      <c r="I33" s="9"/>
      <c r="J33" s="15"/>
      <c r="K33" s="16"/>
    </row>
    <row r="34" spans="1:11">
      <c r="B34" s="17"/>
      <c r="C34" s="18"/>
      <c r="D34" s="19"/>
      <c r="F34" s="5"/>
      <c r="G34" s="9"/>
      <c r="H34" s="9"/>
      <c r="I34" s="9"/>
      <c r="J34" s="15"/>
      <c r="K34" s="16"/>
    </row>
    <row r="35" spans="1:11">
      <c r="F35" s="7"/>
      <c r="G35" s="21"/>
      <c r="H35" s="21"/>
      <c r="I35" s="21"/>
      <c r="J35" s="18"/>
      <c r="K35" s="19"/>
    </row>
  </sheetData>
  <mergeCells count="6">
    <mergeCell ref="A1:L2"/>
    <mergeCell ref="A4:F4"/>
    <mergeCell ref="A13:D13"/>
    <mergeCell ref="F13:K13"/>
    <mergeCell ref="A27:D27"/>
    <mergeCell ref="F27:K2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61"/>
  <sheetViews>
    <sheetView showGridLines="0" workbookViewId="0"/>
  </sheetViews>
  <sheetFormatPr defaultRowHeight="14.25"/>
  <cols>
    <col min="1" max="14" width="11" customWidth="1"/>
  </cols>
  <sheetData>
    <row r="1" spans="1:14" ht="30" customHeight="1">
      <c r="A1" s="155" t="s">
        <v>373</v>
      </c>
      <c r="B1" s="155"/>
      <c r="C1" s="155"/>
      <c r="D1" s="155"/>
      <c r="E1" s="155"/>
      <c r="F1" s="155"/>
      <c r="G1" s="155"/>
      <c r="H1" s="155"/>
      <c r="I1" s="155"/>
      <c r="J1" s="155"/>
      <c r="K1" s="155"/>
      <c r="L1" s="155"/>
      <c r="M1" s="155"/>
      <c r="N1" s="155"/>
    </row>
    <row r="2" spans="1:14" ht="30" customHeight="1">
      <c r="A2" s="155"/>
      <c r="B2" s="155"/>
      <c r="C2" s="155"/>
      <c r="D2" s="155"/>
      <c r="E2" s="155"/>
      <c r="F2" s="155"/>
      <c r="G2" s="155"/>
      <c r="H2" s="155"/>
      <c r="I2" s="155"/>
      <c r="J2" s="155"/>
      <c r="K2" s="155"/>
      <c r="L2" s="155"/>
      <c r="M2" s="155"/>
      <c r="N2" s="155"/>
    </row>
    <row r="3" spans="1:14" ht="15">
      <c r="A3" s="156" t="s">
        <v>374</v>
      </c>
      <c r="B3" s="156"/>
      <c r="C3" s="156"/>
      <c r="D3" s="156"/>
      <c r="E3" s="156"/>
      <c r="F3" s="156"/>
      <c r="G3" s="156"/>
      <c r="H3" s="156"/>
      <c r="I3" s="156"/>
      <c r="J3" s="156"/>
      <c r="K3" s="156"/>
      <c r="L3" s="156"/>
      <c r="M3" s="156"/>
      <c r="N3" s="156"/>
    </row>
    <row r="5" spans="1:14" ht="15">
      <c r="A5" s="157" t="s">
        <v>229</v>
      </c>
      <c r="B5" s="157"/>
      <c r="C5" s="157" t="s">
        <v>231</v>
      </c>
      <c r="D5" s="157"/>
      <c r="E5" s="157" t="s">
        <v>183</v>
      </c>
      <c r="F5" s="157"/>
      <c r="G5" s="157" t="s">
        <v>186</v>
      </c>
      <c r="H5" s="157"/>
      <c r="I5" s="157" t="s">
        <v>303</v>
      </c>
      <c r="J5" s="157"/>
      <c r="K5" s="157" t="s">
        <v>281</v>
      </c>
      <c r="L5" s="157"/>
      <c r="M5" s="127"/>
      <c r="N5" s="127"/>
    </row>
    <row r="6" spans="1:14" ht="15">
      <c r="A6" s="158"/>
      <c r="B6" s="158"/>
      <c r="C6" s="165"/>
      <c r="D6" s="165"/>
      <c r="E6" s="169"/>
      <c r="F6" s="169"/>
      <c r="G6" s="169"/>
      <c r="H6" s="169"/>
      <c r="I6" s="169"/>
      <c r="J6" s="169"/>
      <c r="K6" s="158"/>
      <c r="L6" s="158"/>
      <c r="M6" s="127"/>
      <c r="N6" s="127"/>
    </row>
    <row r="7" spans="1:14" ht="23.25">
      <c r="A7" s="159">
        <f>'18_Dashboard_Data'!B5</f>
        <v>5509</v>
      </c>
      <c r="B7" s="160"/>
      <c r="C7" s="166">
        <f>'18_Dashboard_Data'!B6</f>
        <v>3.85</v>
      </c>
      <c r="D7" s="166"/>
      <c r="E7" s="170">
        <f>'18_Dashboard_Data'!B7</f>
        <v>0.17199999999999999</v>
      </c>
      <c r="F7" s="171"/>
      <c r="G7" s="170">
        <f>'18_Dashboard_Data'!B8</f>
        <v>0.54100000000000004</v>
      </c>
      <c r="H7" s="171"/>
      <c r="I7" s="176">
        <f>'18_Dashboard_Data'!B9</f>
        <v>0.13500000000000001</v>
      </c>
      <c r="J7" s="176"/>
      <c r="K7" s="159">
        <f>'18_Dashboard_Data'!B10</f>
        <v>912</v>
      </c>
      <c r="L7" s="160"/>
      <c r="M7" s="128"/>
      <c r="N7" s="129"/>
    </row>
    <row r="8" spans="1:14" ht="23.25">
      <c r="A8" s="161"/>
      <c r="B8" s="162"/>
      <c r="C8" s="167"/>
      <c r="D8" s="167"/>
      <c r="E8" s="172"/>
      <c r="F8" s="173"/>
      <c r="G8" s="172"/>
      <c r="H8" s="173"/>
      <c r="I8" s="177"/>
      <c r="J8" s="177"/>
      <c r="K8" s="161"/>
      <c r="L8" s="162"/>
      <c r="M8" s="130"/>
      <c r="N8" s="131"/>
    </row>
    <row r="9" spans="1:14" ht="23.25">
      <c r="A9" s="163"/>
      <c r="B9" s="164"/>
      <c r="C9" s="168"/>
      <c r="D9" s="168"/>
      <c r="E9" s="174"/>
      <c r="F9" s="175"/>
      <c r="G9" s="174"/>
      <c r="H9" s="175"/>
      <c r="I9" s="178"/>
      <c r="J9" s="178"/>
      <c r="K9" s="163"/>
      <c r="L9" s="164"/>
      <c r="M9" s="132"/>
      <c r="N9" s="133"/>
    </row>
    <row r="43" spans="1:14" ht="15">
      <c r="H43" s="116"/>
      <c r="I43" s="116"/>
      <c r="J43" s="116"/>
      <c r="K43" s="116"/>
      <c r="L43" s="116"/>
      <c r="M43" s="116"/>
      <c r="N43" s="116"/>
    </row>
    <row r="44" spans="1:14">
      <c r="H44" s="78"/>
      <c r="I44" s="78"/>
      <c r="J44" s="78"/>
      <c r="K44" s="78"/>
      <c r="L44" s="78"/>
      <c r="M44" s="78"/>
      <c r="N44" s="78"/>
    </row>
    <row r="45" spans="1:14">
      <c r="H45" s="78"/>
      <c r="I45" s="78"/>
      <c r="J45" s="78"/>
      <c r="K45" s="78"/>
      <c r="L45" s="78"/>
      <c r="M45" s="78"/>
      <c r="N45" s="78"/>
    </row>
    <row r="46" spans="1:14" ht="15">
      <c r="H46" s="152" t="s">
        <v>375</v>
      </c>
      <c r="I46" s="152"/>
      <c r="J46" s="152"/>
      <c r="K46" s="152"/>
      <c r="L46" s="152"/>
      <c r="M46" s="152"/>
      <c r="N46" s="152"/>
    </row>
    <row r="47" spans="1:14" ht="18" customHeight="1">
      <c r="H47" s="153" t="s">
        <v>376</v>
      </c>
      <c r="I47" s="153"/>
      <c r="J47" s="153"/>
      <c r="K47" s="153"/>
      <c r="L47" s="153"/>
      <c r="M47" s="153"/>
      <c r="N47" s="153"/>
    </row>
    <row r="48" spans="1:14" ht="18" customHeight="1">
      <c r="A48" s="71"/>
      <c r="B48" s="71"/>
      <c r="C48" s="71"/>
      <c r="D48" s="71"/>
      <c r="E48" s="71"/>
      <c r="F48" s="71"/>
      <c r="G48" s="71"/>
      <c r="H48" s="154"/>
      <c r="I48" s="154"/>
      <c r="J48" s="154"/>
      <c r="K48" s="154"/>
      <c r="L48" s="154"/>
      <c r="M48" s="154"/>
      <c r="N48" s="154"/>
    </row>
    <row r="49" spans="1:14" ht="18" customHeight="1">
      <c r="A49" s="117"/>
      <c r="B49" s="117"/>
      <c r="C49" s="117"/>
      <c r="D49" s="117"/>
      <c r="E49" s="117"/>
      <c r="F49" s="117"/>
      <c r="G49" s="117"/>
      <c r="H49" s="153"/>
      <c r="I49" s="153"/>
      <c r="J49" s="153"/>
      <c r="K49" s="153"/>
      <c r="L49" s="153"/>
      <c r="M49" s="153"/>
      <c r="N49" s="153"/>
    </row>
    <row r="50" spans="1:14" ht="18" customHeight="1">
      <c r="A50" s="117"/>
      <c r="B50" s="117"/>
      <c r="C50" s="117"/>
      <c r="D50" s="117"/>
      <c r="E50" s="117"/>
      <c r="F50" s="117"/>
      <c r="G50" s="117"/>
      <c r="H50" s="153"/>
      <c r="I50" s="153"/>
      <c r="J50" s="153"/>
      <c r="K50" s="153"/>
      <c r="L50" s="153"/>
      <c r="M50" s="153"/>
      <c r="N50" s="153"/>
    </row>
    <row r="51" spans="1:14" ht="18" customHeight="1">
      <c r="A51" s="117"/>
      <c r="B51" s="117"/>
      <c r="C51" s="117"/>
      <c r="D51" s="117"/>
      <c r="E51" s="117"/>
      <c r="F51" s="117"/>
      <c r="G51" s="117"/>
      <c r="H51" s="153"/>
      <c r="I51" s="153"/>
      <c r="J51" s="153"/>
      <c r="K51" s="153"/>
      <c r="L51" s="153"/>
      <c r="M51" s="153"/>
      <c r="N51" s="153"/>
    </row>
    <row r="52" spans="1:14" ht="18" customHeight="1">
      <c r="A52" s="117"/>
      <c r="B52" s="117"/>
      <c r="C52" s="117"/>
      <c r="D52" s="117"/>
      <c r="E52" s="117"/>
      <c r="F52" s="117"/>
      <c r="G52" s="117"/>
      <c r="H52" s="153"/>
      <c r="I52" s="153"/>
      <c r="J52" s="153"/>
      <c r="K52" s="153"/>
      <c r="L52" s="153"/>
      <c r="M52" s="153"/>
      <c r="N52" s="153"/>
    </row>
    <row r="53" spans="1:14" ht="18" customHeight="1">
      <c r="A53" s="117"/>
      <c r="B53" s="117"/>
      <c r="C53" s="117"/>
      <c r="D53" s="117"/>
      <c r="E53" s="117"/>
      <c r="F53" s="117"/>
      <c r="G53" s="117"/>
      <c r="H53" s="153"/>
      <c r="I53" s="153"/>
      <c r="J53" s="153"/>
      <c r="K53" s="153"/>
      <c r="L53" s="153"/>
      <c r="M53" s="153"/>
      <c r="N53" s="153"/>
    </row>
    <row r="54" spans="1:14" ht="18" customHeight="1">
      <c r="A54" s="117"/>
      <c r="B54" s="117"/>
      <c r="C54" s="117"/>
      <c r="D54" s="117"/>
      <c r="E54" s="117"/>
      <c r="F54" s="117"/>
      <c r="G54" s="117"/>
      <c r="H54" s="153"/>
      <c r="I54" s="153"/>
      <c r="J54" s="153"/>
      <c r="K54" s="153"/>
      <c r="L54" s="153"/>
      <c r="M54" s="153"/>
      <c r="N54" s="153"/>
    </row>
    <row r="55" spans="1:14" ht="18" customHeight="1">
      <c r="A55" s="117"/>
      <c r="B55" s="117"/>
      <c r="C55" s="117"/>
      <c r="D55" s="117"/>
      <c r="E55" s="117"/>
      <c r="F55" s="117"/>
      <c r="G55" s="117"/>
      <c r="H55" s="153"/>
      <c r="I55" s="153"/>
      <c r="J55" s="153"/>
      <c r="K55" s="153"/>
      <c r="L55" s="153"/>
      <c r="M55" s="153"/>
      <c r="N55" s="153"/>
    </row>
    <row r="56" spans="1:14" ht="18" customHeight="1">
      <c r="A56" s="117"/>
      <c r="B56" s="117"/>
      <c r="C56" s="117"/>
      <c r="D56" s="117"/>
      <c r="E56" s="117"/>
      <c r="F56" s="117"/>
      <c r="G56" s="117"/>
      <c r="H56" s="153"/>
      <c r="I56" s="153"/>
      <c r="J56" s="153"/>
      <c r="K56" s="153"/>
      <c r="L56" s="153"/>
      <c r="M56" s="153"/>
      <c r="N56" s="153"/>
    </row>
    <row r="57" spans="1:14" ht="18" customHeight="1">
      <c r="H57" s="153"/>
      <c r="I57" s="153"/>
      <c r="J57" s="153"/>
      <c r="K57" s="153"/>
      <c r="L57" s="153"/>
      <c r="M57" s="153"/>
      <c r="N57" s="153"/>
    </row>
    <row r="58" spans="1:14" ht="18" customHeight="1">
      <c r="H58" s="153"/>
      <c r="I58" s="153"/>
      <c r="J58" s="153"/>
      <c r="K58" s="153"/>
      <c r="L58" s="153"/>
      <c r="M58" s="153"/>
      <c r="N58" s="153"/>
    </row>
    <row r="59" spans="1:14" ht="18" customHeight="1">
      <c r="H59" s="153"/>
      <c r="I59" s="153"/>
      <c r="J59" s="153"/>
      <c r="K59" s="153"/>
      <c r="L59" s="153"/>
      <c r="M59" s="153"/>
      <c r="N59" s="153"/>
    </row>
    <row r="60" spans="1:14" ht="18" customHeight="1">
      <c r="H60" s="153"/>
      <c r="I60" s="153"/>
      <c r="J60" s="153"/>
      <c r="K60" s="153"/>
      <c r="L60" s="153"/>
      <c r="M60" s="153"/>
      <c r="N60" s="153"/>
    </row>
    <row r="61" spans="1:14" ht="18" customHeight="1">
      <c r="H61" s="153"/>
      <c r="I61" s="153"/>
      <c r="J61" s="153"/>
      <c r="K61" s="153"/>
      <c r="L61" s="153"/>
      <c r="M61" s="153"/>
      <c r="N61" s="153"/>
    </row>
  </sheetData>
  <mergeCells count="16">
    <mergeCell ref="H46:N46"/>
    <mergeCell ref="H47:N61"/>
    <mergeCell ref="A1:N2"/>
    <mergeCell ref="A3:N3"/>
    <mergeCell ref="A5:B6"/>
    <mergeCell ref="A7:B9"/>
    <mergeCell ref="C5:D6"/>
    <mergeCell ref="C7:D9"/>
    <mergeCell ref="E5:F6"/>
    <mergeCell ref="E7:F9"/>
    <mergeCell ref="G5:H6"/>
    <mergeCell ref="G7:H9"/>
    <mergeCell ref="I5:J6"/>
    <mergeCell ref="I7:J9"/>
    <mergeCell ref="K5:L6"/>
    <mergeCell ref="K7:L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58"/>
  <sheetViews>
    <sheetView workbookViewId="0"/>
  </sheetViews>
  <sheetFormatPr defaultRowHeight="14.25"/>
  <cols>
    <col min="1" max="8" width="15" customWidth="1"/>
  </cols>
  <sheetData>
    <row r="1" spans="1:8" ht="30" customHeight="1">
      <c r="A1" s="145" t="s">
        <v>377</v>
      </c>
      <c r="B1" s="145"/>
      <c r="C1" s="145"/>
      <c r="D1" s="145"/>
      <c r="E1" s="145"/>
      <c r="F1" s="145"/>
      <c r="G1" s="145"/>
      <c r="H1" s="145"/>
    </row>
    <row r="2" spans="1:8" ht="30" customHeight="1">
      <c r="A2" s="145"/>
      <c r="B2" s="145"/>
      <c r="C2" s="145"/>
      <c r="D2" s="145"/>
      <c r="E2" s="145"/>
      <c r="F2" s="145"/>
      <c r="G2" s="145"/>
      <c r="H2" s="145"/>
    </row>
    <row r="4" spans="1:8" ht="21.95" customHeight="1">
      <c r="A4" s="144" t="s">
        <v>378</v>
      </c>
      <c r="B4" s="144"/>
      <c r="C4" s="144"/>
      <c r="D4" s="144"/>
      <c r="E4" s="144"/>
      <c r="F4" s="144"/>
      <c r="G4" s="144"/>
      <c r="H4" s="144"/>
    </row>
    <row r="5" spans="1:8">
      <c r="A5" s="179" t="s">
        <v>379</v>
      </c>
      <c r="B5" s="180"/>
      <c r="C5" s="180"/>
      <c r="D5" s="180"/>
      <c r="E5" s="180"/>
      <c r="F5" s="180"/>
      <c r="G5" s="180"/>
      <c r="H5" s="181"/>
    </row>
    <row r="6" spans="1:8">
      <c r="A6" s="182"/>
      <c r="B6" s="146"/>
      <c r="C6" s="146"/>
      <c r="D6" s="146"/>
      <c r="E6" s="146"/>
      <c r="F6" s="146"/>
      <c r="G6" s="146"/>
      <c r="H6" s="183"/>
    </row>
    <row r="7" spans="1:8">
      <c r="A7" s="182"/>
      <c r="B7" s="146"/>
      <c r="C7" s="146"/>
      <c r="D7" s="146"/>
      <c r="E7" s="146"/>
      <c r="F7" s="146"/>
      <c r="G7" s="146"/>
      <c r="H7" s="183"/>
    </row>
    <row r="8" spans="1:8">
      <c r="A8" s="182"/>
      <c r="B8" s="146"/>
      <c r="C8" s="146"/>
      <c r="D8" s="146"/>
      <c r="E8" s="146"/>
      <c r="F8" s="146"/>
      <c r="G8" s="146"/>
      <c r="H8" s="183"/>
    </row>
    <row r="9" spans="1:8">
      <c r="A9" s="184"/>
      <c r="B9" s="185"/>
      <c r="C9" s="185"/>
      <c r="D9" s="185"/>
      <c r="E9" s="185"/>
      <c r="F9" s="185"/>
      <c r="G9" s="185"/>
      <c r="H9" s="186"/>
    </row>
    <row r="11" spans="1:8" ht="21.95" customHeight="1">
      <c r="A11" s="144" t="s">
        <v>380</v>
      </c>
      <c r="B11" s="144"/>
      <c r="C11" s="144"/>
      <c r="D11" s="144"/>
      <c r="E11" s="144"/>
      <c r="F11" s="144"/>
      <c r="G11" s="144"/>
      <c r="H11" s="144"/>
    </row>
    <row r="12" spans="1:8">
      <c r="A12" s="179" t="s">
        <v>381</v>
      </c>
      <c r="B12" s="180"/>
      <c r="C12" s="180"/>
      <c r="D12" s="180"/>
      <c r="E12" s="180"/>
      <c r="F12" s="180"/>
      <c r="G12" s="180"/>
      <c r="H12" s="181"/>
    </row>
    <row r="13" spans="1:8">
      <c r="A13" s="182"/>
      <c r="B13" s="146"/>
      <c r="C13" s="146"/>
      <c r="D13" s="146"/>
      <c r="E13" s="146"/>
      <c r="F13" s="146"/>
      <c r="G13" s="146"/>
      <c r="H13" s="183"/>
    </row>
    <row r="14" spans="1:8">
      <c r="A14" s="182"/>
      <c r="B14" s="146"/>
      <c r="C14" s="146"/>
      <c r="D14" s="146"/>
      <c r="E14" s="146"/>
      <c r="F14" s="146"/>
      <c r="G14" s="146"/>
      <c r="H14" s="183"/>
    </row>
    <row r="15" spans="1:8">
      <c r="A15" s="182"/>
      <c r="B15" s="146"/>
      <c r="C15" s="146"/>
      <c r="D15" s="146"/>
      <c r="E15" s="146"/>
      <c r="F15" s="146"/>
      <c r="G15" s="146"/>
      <c r="H15" s="183"/>
    </row>
    <row r="16" spans="1:8">
      <c r="A16" s="184"/>
      <c r="B16" s="185"/>
      <c r="C16" s="185"/>
      <c r="D16" s="185"/>
      <c r="E16" s="185"/>
      <c r="F16" s="185"/>
      <c r="G16" s="185"/>
      <c r="H16" s="186"/>
    </row>
    <row r="18" spans="1:8" ht="21.95" customHeight="1">
      <c r="A18" s="144" t="s">
        <v>382</v>
      </c>
      <c r="B18" s="144"/>
      <c r="C18" s="144"/>
      <c r="D18" s="144"/>
      <c r="E18" s="144"/>
      <c r="F18" s="144"/>
      <c r="G18" s="144"/>
      <c r="H18" s="144"/>
    </row>
    <row r="19" spans="1:8">
      <c r="A19" s="179" t="s">
        <v>383</v>
      </c>
      <c r="B19" s="180"/>
      <c r="C19" s="180"/>
      <c r="D19" s="180"/>
      <c r="E19" s="180"/>
      <c r="F19" s="180"/>
      <c r="G19" s="180"/>
      <c r="H19" s="181"/>
    </row>
    <row r="20" spans="1:8">
      <c r="A20" s="182"/>
      <c r="B20" s="146"/>
      <c r="C20" s="146"/>
      <c r="D20" s="146"/>
      <c r="E20" s="146"/>
      <c r="F20" s="146"/>
      <c r="G20" s="146"/>
      <c r="H20" s="183"/>
    </row>
    <row r="21" spans="1:8">
      <c r="A21" s="182"/>
      <c r="B21" s="146"/>
      <c r="C21" s="146"/>
      <c r="D21" s="146"/>
      <c r="E21" s="146"/>
      <c r="F21" s="146"/>
      <c r="G21" s="146"/>
      <c r="H21" s="183"/>
    </row>
    <row r="22" spans="1:8">
      <c r="A22" s="182"/>
      <c r="B22" s="146"/>
      <c r="C22" s="146"/>
      <c r="D22" s="146"/>
      <c r="E22" s="146"/>
      <c r="F22" s="146"/>
      <c r="G22" s="146"/>
      <c r="H22" s="183"/>
    </row>
    <row r="23" spans="1:8">
      <c r="A23" s="184"/>
      <c r="B23" s="185"/>
      <c r="C23" s="185"/>
      <c r="D23" s="185"/>
      <c r="E23" s="185"/>
      <c r="F23" s="185"/>
      <c r="G23" s="185"/>
      <c r="H23" s="186"/>
    </row>
    <row r="25" spans="1:8" ht="21.95" customHeight="1">
      <c r="A25" s="144" t="s">
        <v>384</v>
      </c>
      <c r="B25" s="144"/>
      <c r="C25" s="144"/>
      <c r="D25" s="144"/>
      <c r="E25" s="144"/>
      <c r="F25" s="144"/>
      <c r="G25" s="144"/>
      <c r="H25" s="144"/>
    </row>
    <row r="26" spans="1:8">
      <c r="A26" s="179" t="s">
        <v>385</v>
      </c>
      <c r="B26" s="180"/>
      <c r="C26" s="180"/>
      <c r="D26" s="180"/>
      <c r="E26" s="180"/>
      <c r="F26" s="180"/>
      <c r="G26" s="180"/>
      <c r="H26" s="181"/>
    </row>
    <row r="27" spans="1:8">
      <c r="A27" s="182"/>
      <c r="B27" s="146"/>
      <c r="C27" s="146"/>
      <c r="D27" s="146"/>
      <c r="E27" s="146"/>
      <c r="F27" s="146"/>
      <c r="G27" s="146"/>
      <c r="H27" s="183"/>
    </row>
    <row r="28" spans="1:8">
      <c r="A28" s="182"/>
      <c r="B28" s="146"/>
      <c r="C28" s="146"/>
      <c r="D28" s="146"/>
      <c r="E28" s="146"/>
      <c r="F28" s="146"/>
      <c r="G28" s="146"/>
      <c r="H28" s="183"/>
    </row>
    <row r="29" spans="1:8">
      <c r="A29" s="182"/>
      <c r="B29" s="146"/>
      <c r="C29" s="146"/>
      <c r="D29" s="146"/>
      <c r="E29" s="146"/>
      <c r="F29" s="146"/>
      <c r="G29" s="146"/>
      <c r="H29" s="183"/>
    </row>
    <row r="30" spans="1:8">
      <c r="A30" s="184"/>
      <c r="B30" s="185"/>
      <c r="C30" s="185"/>
      <c r="D30" s="185"/>
      <c r="E30" s="185"/>
      <c r="F30" s="185"/>
      <c r="G30" s="185"/>
      <c r="H30" s="186"/>
    </row>
    <row r="32" spans="1:8" ht="21.95" customHeight="1">
      <c r="A32" s="144" t="s">
        <v>386</v>
      </c>
      <c r="B32" s="144"/>
      <c r="C32" s="144"/>
      <c r="D32" s="144"/>
      <c r="E32" s="144"/>
      <c r="F32" s="144"/>
      <c r="G32" s="144"/>
      <c r="H32" s="144"/>
    </row>
    <row r="33" spans="1:8">
      <c r="A33" s="179" t="s">
        <v>387</v>
      </c>
      <c r="B33" s="180"/>
      <c r="C33" s="180"/>
      <c r="D33" s="180"/>
      <c r="E33" s="180"/>
      <c r="F33" s="180"/>
      <c r="G33" s="180"/>
      <c r="H33" s="181"/>
    </row>
    <row r="34" spans="1:8">
      <c r="A34" s="182"/>
      <c r="B34" s="146"/>
      <c r="C34" s="146"/>
      <c r="D34" s="146"/>
      <c r="E34" s="146"/>
      <c r="F34" s="146"/>
      <c r="G34" s="146"/>
      <c r="H34" s="183"/>
    </row>
    <row r="35" spans="1:8">
      <c r="A35" s="182"/>
      <c r="B35" s="146"/>
      <c r="C35" s="146"/>
      <c r="D35" s="146"/>
      <c r="E35" s="146"/>
      <c r="F35" s="146"/>
      <c r="G35" s="146"/>
      <c r="H35" s="183"/>
    </row>
    <row r="36" spans="1:8">
      <c r="A36" s="182"/>
      <c r="B36" s="146"/>
      <c r="C36" s="146"/>
      <c r="D36" s="146"/>
      <c r="E36" s="146"/>
      <c r="F36" s="146"/>
      <c r="G36" s="146"/>
      <c r="H36" s="183"/>
    </row>
    <row r="37" spans="1:8">
      <c r="A37" s="184"/>
      <c r="B37" s="185"/>
      <c r="C37" s="185"/>
      <c r="D37" s="185"/>
      <c r="E37" s="185"/>
      <c r="F37" s="185"/>
      <c r="G37" s="185"/>
      <c r="H37" s="186"/>
    </row>
    <row r="39" spans="1:8" ht="21.95" customHeight="1">
      <c r="A39" s="144" t="s">
        <v>388</v>
      </c>
      <c r="B39" s="144"/>
      <c r="C39" s="144"/>
      <c r="D39" s="144"/>
      <c r="E39" s="144"/>
      <c r="F39" s="144"/>
      <c r="G39" s="144"/>
      <c r="H39" s="144"/>
    </row>
    <row r="40" spans="1:8">
      <c r="A40" s="179" t="s">
        <v>389</v>
      </c>
      <c r="B40" s="180"/>
      <c r="C40" s="180"/>
      <c r="D40" s="180"/>
      <c r="E40" s="180"/>
      <c r="F40" s="180"/>
      <c r="G40" s="180"/>
      <c r="H40" s="181"/>
    </row>
    <row r="41" spans="1:8">
      <c r="A41" s="182"/>
      <c r="B41" s="146"/>
      <c r="C41" s="146"/>
      <c r="D41" s="146"/>
      <c r="E41" s="146"/>
      <c r="F41" s="146"/>
      <c r="G41" s="146"/>
      <c r="H41" s="183"/>
    </row>
    <row r="42" spans="1:8">
      <c r="A42" s="182"/>
      <c r="B42" s="146"/>
      <c r="C42" s="146"/>
      <c r="D42" s="146"/>
      <c r="E42" s="146"/>
      <c r="F42" s="146"/>
      <c r="G42" s="146"/>
      <c r="H42" s="183"/>
    </row>
    <row r="43" spans="1:8">
      <c r="A43" s="182"/>
      <c r="B43" s="146"/>
      <c r="C43" s="146"/>
      <c r="D43" s="146"/>
      <c r="E43" s="146"/>
      <c r="F43" s="146"/>
      <c r="G43" s="146"/>
      <c r="H43" s="183"/>
    </row>
    <row r="44" spans="1:8">
      <c r="A44" s="184"/>
      <c r="B44" s="185"/>
      <c r="C44" s="185"/>
      <c r="D44" s="185"/>
      <c r="E44" s="185"/>
      <c r="F44" s="185"/>
      <c r="G44" s="185"/>
      <c r="H44" s="186"/>
    </row>
    <row r="46" spans="1:8" ht="21.95" customHeight="1">
      <c r="A46" s="144" t="s">
        <v>390</v>
      </c>
      <c r="B46" s="144"/>
      <c r="C46" s="144"/>
      <c r="D46" s="144"/>
      <c r="E46" s="144"/>
      <c r="F46" s="144"/>
      <c r="G46" s="144"/>
      <c r="H46" s="144"/>
    </row>
    <row r="47" spans="1:8">
      <c r="A47" s="179" t="s">
        <v>391</v>
      </c>
      <c r="B47" s="180"/>
      <c r="C47" s="180"/>
      <c r="D47" s="180"/>
      <c r="E47" s="180"/>
      <c r="F47" s="180"/>
      <c r="G47" s="180"/>
      <c r="H47" s="181"/>
    </row>
    <row r="48" spans="1:8">
      <c r="A48" s="182"/>
      <c r="B48" s="146"/>
      <c r="C48" s="146"/>
      <c r="D48" s="146"/>
      <c r="E48" s="146"/>
      <c r="F48" s="146"/>
      <c r="G48" s="146"/>
      <c r="H48" s="183"/>
    </row>
    <row r="49" spans="1:8">
      <c r="A49" s="182"/>
      <c r="B49" s="146"/>
      <c r="C49" s="146"/>
      <c r="D49" s="146"/>
      <c r="E49" s="146"/>
      <c r="F49" s="146"/>
      <c r="G49" s="146"/>
      <c r="H49" s="183"/>
    </row>
    <row r="50" spans="1:8">
      <c r="A50" s="182"/>
      <c r="B50" s="146"/>
      <c r="C50" s="146"/>
      <c r="D50" s="146"/>
      <c r="E50" s="146"/>
      <c r="F50" s="146"/>
      <c r="G50" s="146"/>
      <c r="H50" s="183"/>
    </row>
    <row r="51" spans="1:8">
      <c r="A51" s="184"/>
      <c r="B51" s="185"/>
      <c r="C51" s="185"/>
      <c r="D51" s="185"/>
      <c r="E51" s="185"/>
      <c r="F51" s="185"/>
      <c r="G51" s="185"/>
      <c r="H51" s="186"/>
    </row>
    <row r="53" spans="1:8" ht="21.95" customHeight="1">
      <c r="A53" s="144" t="s">
        <v>392</v>
      </c>
      <c r="B53" s="144"/>
      <c r="C53" s="144"/>
      <c r="D53" s="144"/>
      <c r="E53" s="144"/>
      <c r="F53" s="144"/>
      <c r="G53" s="144"/>
      <c r="H53" s="144"/>
    </row>
    <row r="54" spans="1:8">
      <c r="A54" s="179" t="s">
        <v>393</v>
      </c>
      <c r="B54" s="180"/>
      <c r="C54" s="180"/>
      <c r="D54" s="180"/>
      <c r="E54" s="180"/>
      <c r="F54" s="180"/>
      <c r="G54" s="180"/>
      <c r="H54" s="181"/>
    </row>
    <row r="55" spans="1:8">
      <c r="A55" s="182"/>
      <c r="B55" s="146"/>
      <c r="C55" s="146"/>
      <c r="D55" s="146"/>
      <c r="E55" s="146"/>
      <c r="F55" s="146"/>
      <c r="G55" s="146"/>
      <c r="H55" s="183"/>
    </row>
    <row r="56" spans="1:8">
      <c r="A56" s="182"/>
      <c r="B56" s="146"/>
      <c r="C56" s="146"/>
      <c r="D56" s="146"/>
      <c r="E56" s="146"/>
      <c r="F56" s="146"/>
      <c r="G56" s="146"/>
      <c r="H56" s="183"/>
    </row>
    <row r="57" spans="1:8">
      <c r="A57" s="182"/>
      <c r="B57" s="146"/>
      <c r="C57" s="146"/>
      <c r="D57" s="146"/>
      <c r="E57" s="146"/>
      <c r="F57" s="146"/>
      <c r="G57" s="146"/>
      <c r="H57" s="183"/>
    </row>
    <row r="58" spans="1:8">
      <c r="A58" s="184"/>
      <c r="B58" s="185"/>
      <c r="C58" s="185"/>
      <c r="D58" s="185"/>
      <c r="E58" s="185"/>
      <c r="F58" s="185"/>
      <c r="G58" s="185"/>
      <c r="H58" s="186"/>
    </row>
  </sheetData>
  <mergeCells count="17">
    <mergeCell ref="A1:H2"/>
    <mergeCell ref="A4:H4"/>
    <mergeCell ref="A5:H9"/>
    <mergeCell ref="A11:H11"/>
    <mergeCell ref="A12:H16"/>
    <mergeCell ref="A18:H18"/>
    <mergeCell ref="A19:H23"/>
    <mergeCell ref="A25:H25"/>
    <mergeCell ref="A26:H30"/>
    <mergeCell ref="A32:H32"/>
    <mergeCell ref="A53:H53"/>
    <mergeCell ref="A54:H58"/>
    <mergeCell ref="A33:H37"/>
    <mergeCell ref="A39:H39"/>
    <mergeCell ref="A40:H44"/>
    <mergeCell ref="A46:H46"/>
    <mergeCell ref="A47:H5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5"/>
  <sheetViews>
    <sheetView showGridLines="0" topLeftCell="M1" workbookViewId="0">
      <selection activeCell="B6" sqref="B6"/>
    </sheetView>
  </sheetViews>
  <sheetFormatPr defaultRowHeight="14.25"/>
  <cols>
    <col min="1" max="1" width="26" customWidth="1"/>
    <col min="2" max="5" width="14" customWidth="1"/>
    <col min="6" max="6" width="3" customWidth="1"/>
    <col min="7" max="7" width="24" customWidth="1"/>
    <col min="8" max="10" width="13" customWidth="1"/>
    <col min="11" max="13" width="12" customWidth="1"/>
    <col min="14" max="14" width="33" customWidth="1"/>
  </cols>
  <sheetData>
    <row r="1" spans="1:14">
      <c r="A1" s="155" t="s">
        <v>394</v>
      </c>
      <c r="B1" s="155"/>
      <c r="C1" s="155"/>
      <c r="D1" s="155"/>
      <c r="E1" s="155"/>
      <c r="F1" s="155"/>
      <c r="G1" s="155"/>
      <c r="H1" s="155"/>
      <c r="I1" s="155"/>
      <c r="J1" s="155"/>
      <c r="K1" s="155"/>
      <c r="L1" s="155"/>
      <c r="M1" s="155"/>
      <c r="N1" s="155"/>
    </row>
    <row r="2" spans="1:14">
      <c r="A2" s="155"/>
      <c r="B2" s="155"/>
      <c r="C2" s="155"/>
      <c r="D2" s="155"/>
      <c r="E2" s="155"/>
      <c r="F2" s="155"/>
      <c r="G2" s="155"/>
      <c r="H2" s="155"/>
      <c r="I2" s="155"/>
      <c r="J2" s="155"/>
      <c r="K2" s="155"/>
      <c r="L2" s="155"/>
      <c r="M2" s="155"/>
      <c r="N2" s="155"/>
    </row>
    <row r="4" spans="1:14" ht="15">
      <c r="A4" s="59" t="s">
        <v>395</v>
      </c>
      <c r="B4" s="61" t="s">
        <v>396</v>
      </c>
    </row>
    <row r="5" spans="1:14" ht="15">
      <c r="A5" t="s">
        <v>397</v>
      </c>
      <c r="B5" s="63" t="s">
        <v>229</v>
      </c>
    </row>
    <row r="6" spans="1:14" ht="15">
      <c r="A6" t="s">
        <v>398</v>
      </c>
      <c r="B6" s="64" t="s">
        <v>105</v>
      </c>
    </row>
    <row r="8" spans="1:14" ht="15">
      <c r="A8" s="144" t="s">
        <v>397</v>
      </c>
      <c r="B8" s="144"/>
      <c r="C8" s="144"/>
      <c r="D8" s="144"/>
      <c r="E8" s="144"/>
      <c r="G8" s="144" t="s">
        <v>399</v>
      </c>
      <c r="H8" s="144"/>
      <c r="I8" s="144"/>
      <c r="J8" s="144"/>
      <c r="K8" s="144"/>
      <c r="L8" s="144"/>
      <c r="M8" s="144"/>
      <c r="N8" s="144"/>
    </row>
    <row r="9" spans="1:14" ht="30">
      <c r="A9" s="59" t="s">
        <v>326</v>
      </c>
      <c r="B9" s="60" t="s">
        <v>219</v>
      </c>
      <c r="C9" s="60" t="s">
        <v>220</v>
      </c>
      <c r="D9" s="61" t="s">
        <v>105</v>
      </c>
      <c r="E9" s="61" t="s">
        <v>327</v>
      </c>
      <c r="G9" s="59" t="s">
        <v>313</v>
      </c>
      <c r="H9" s="60" t="s">
        <v>400</v>
      </c>
      <c r="I9" s="60" t="s">
        <v>229</v>
      </c>
      <c r="J9" s="60" t="s">
        <v>161</v>
      </c>
      <c r="K9" s="60" t="s">
        <v>183</v>
      </c>
      <c r="L9" s="60" t="s">
        <v>401</v>
      </c>
      <c r="M9" s="60" t="s">
        <v>360</v>
      </c>
      <c r="N9" s="61" t="s">
        <v>402</v>
      </c>
    </row>
    <row r="10" spans="1:14" ht="33.950000000000003" customHeight="1">
      <c r="A10" t="str">
        <f>$B$5</f>
        <v>Net Income</v>
      </c>
      <c r="B10" s="37">
        <f>IFERROR(INDEX('05_Raw_Annual_Performance'!$C$5:$C$19,MATCH($A10,'05_Raw_Annual_Performance'!$A$5:$A$19,0)),"")</f>
        <v>14612</v>
      </c>
      <c r="C10" s="38">
        <f>IFERROR(INDEX('05_Raw_Annual_Performance'!$D$5:$D$19,MATCH($A10,'05_Raw_Annual_Performance'!$A$5:$A$19,0)),"")</f>
        <v>16240</v>
      </c>
      <c r="D10" s="39">
        <f>IFERROR(INDEX('05_Raw_Annual_Performance'!$E$5:$E$19,MATCH($A10,'05_Raw_Annual_Performance'!$A$5:$A$19,0)),"")</f>
        <v>20369</v>
      </c>
      <c r="E10" s="65">
        <f>IFERROR(D10/B10-1,"")</f>
        <v>0.39399124007664943</v>
      </c>
      <c r="G10" t="s">
        <v>314</v>
      </c>
      <c r="H10" s="28">
        <f>IFERROR(SUMIFS('10_Raw_Segment_Results'!$C$5:$C$34,'10_Raw_Segment_Results'!$A$5:$A$34,$B$6,'10_Raw_Segment_Results'!$B$5:$B$34,$G10),"")</f>
        <v>19854</v>
      </c>
      <c r="I10" s="10">
        <f>IFERROR(SUMIFS('10_Raw_Segment_Results'!$H$5:$H$34,'10_Raw_Segment_Results'!$A$5:$A$34,$B$6,'10_Raw_Segment_Results'!$B$5:$B$34,$G10),"")</f>
        <v>7105</v>
      </c>
      <c r="J10" s="10">
        <f>IFERROR(SUMIFS('10_Raw_Segment_Results'!$F$5:$F$34,'10_Raw_Segment_Results'!$A$5:$A$34,$B$6,'10_Raw_Segment_Results'!$B$5:$B$34,$G10),"")</f>
        <v>2105</v>
      </c>
      <c r="K10" s="26">
        <f>IF(COUNTIFS('10_Raw_Segment_Results'!$A$5:$A$34,$B$6,'10_Raw_Segment_Results'!$B$5:$B$34,$G10,'10_Raw_Segment_Results'!$I$5:$I$34,"&lt;&gt;")=0,"",SUMIFS('10_Raw_Segment_Results'!$I$5:$I$34,'10_Raw_Segment_Results'!$A$5:$A$34,$B$6,'10_Raw_Segment_Results'!$B$5:$B$34,$G10))</f>
        <v>0.249</v>
      </c>
      <c r="L10" s="26">
        <f>IF(COUNTIFS('10_Raw_Segment_Results'!$A$5:$A$34,$B$6,'10_Raw_Segment_Results'!$B$5:$B$34,$G10,'10_Raw_Segment_Results'!$J$5:$J$34,"&lt;&gt;")=0,"",SUMIFS('10_Raw_Segment_Results'!$J$5:$J$34,'10_Raw_Segment_Results'!$A$5:$A$34,$B$6,'10_Raw_Segment_Results'!$B$5:$B$34,$G10))</f>
        <v>0.40300000000000002</v>
      </c>
      <c r="M10" s="27">
        <f t="shared" ref="M10:M15" si="0">IFERROR(H10/SUM($H$10:$H$15),"")</f>
        <v>0.29808572929960214</v>
      </c>
      <c r="N10" s="66" t="s">
        <v>403</v>
      </c>
    </row>
    <row r="11" spans="1:14" ht="33.950000000000003" customHeight="1">
      <c r="G11" t="s">
        <v>316</v>
      </c>
      <c r="H11" s="29">
        <f>IFERROR(SUMIFS('10_Raw_Segment_Results'!$C$5:$C$34,'10_Raw_Segment_Results'!$A$5:$A$34,$B$6,'10_Raw_Segment_Results'!$B$5:$B$34,$G11),"")</f>
        <v>8562</v>
      </c>
      <c r="I11" s="9">
        <f>IFERROR(SUMIFS('10_Raw_Segment_Results'!$H$5:$H$34,'10_Raw_Segment_Results'!$A$5:$A$34,$B$6,'10_Raw_Segment_Results'!$B$5:$B$34,$G11),"")</f>
        <v>3020</v>
      </c>
      <c r="J11" s="9">
        <f>IFERROR(SUMIFS('10_Raw_Segment_Results'!$F$5:$F$34,'10_Raw_Segment_Results'!$A$5:$A$34,$B$6,'10_Raw_Segment_Results'!$B$5:$B$34,$G11),"")</f>
        <v>1550</v>
      </c>
      <c r="K11" s="15">
        <f>IF(COUNTIFS('10_Raw_Segment_Results'!$A$5:$A$34,$B$6,'10_Raw_Segment_Results'!$B$5:$B$34,$G11,'10_Raw_Segment_Results'!$I$5:$I$34,"&lt;&gt;")=0,"",SUMIFS('10_Raw_Segment_Results'!$I$5:$I$34,'10_Raw_Segment_Results'!$A$5:$A$34,$B$6,'10_Raw_Segment_Results'!$B$5:$B$34,$G11))</f>
        <v>0.14899999999999999</v>
      </c>
      <c r="L11" s="15">
        <f>IF(COUNTIFS('10_Raw_Segment_Results'!$A$5:$A$34,$B$6,'10_Raw_Segment_Results'!$B$5:$B$34,$G11,'10_Raw_Segment_Results'!$J$5:$J$34,"&lt;&gt;")=0,"",SUMIFS('10_Raw_Segment_Results'!$J$5:$J$34,'10_Raw_Segment_Results'!$A$5:$A$34,$B$6,'10_Raw_Segment_Results'!$B$5:$B$34,$G11))</f>
        <v>0.33100000000000002</v>
      </c>
      <c r="M11" s="16">
        <f t="shared" si="0"/>
        <v>0.12854890773965919</v>
      </c>
      <c r="N11" s="66" t="s">
        <v>404</v>
      </c>
    </row>
    <row r="12" spans="1:14" ht="33.950000000000003" customHeight="1">
      <c r="G12" t="s">
        <v>317</v>
      </c>
      <c r="H12" s="29">
        <f>IFERROR(SUMIFS('10_Raw_Segment_Results'!$C$5:$C$34,'10_Raw_Segment_Results'!$A$5:$A$34,$B$6,'10_Raw_Segment_Results'!$B$5:$B$34,$G12),"")</f>
        <v>22378</v>
      </c>
      <c r="I12" s="9">
        <f>IFERROR(SUMIFS('10_Raw_Segment_Results'!$H$5:$H$34,'10_Raw_Segment_Results'!$A$5:$A$34,$B$6,'10_Raw_Segment_Results'!$B$5:$B$34,$G12),"")</f>
        <v>4289</v>
      </c>
      <c r="J12" s="9">
        <f>IFERROR(SUMIFS('10_Raw_Segment_Results'!$F$5:$F$34,'10_Raw_Segment_Results'!$A$5:$A$34,$B$6,'10_Raw_Segment_Results'!$B$5:$B$34,$G12),"")</f>
        <v>120</v>
      </c>
      <c r="K12" s="15">
        <f>IF(COUNTIFS('10_Raw_Segment_Results'!$A$5:$A$34,$B$6,'10_Raw_Segment_Results'!$B$5:$B$34,$G12,'10_Raw_Segment_Results'!$I$5:$I$34,"&lt;&gt;")=0,"",SUMIFS('10_Raw_Segment_Results'!$I$5:$I$34,'10_Raw_Segment_Results'!$A$5:$A$34,$B$6,'10_Raw_Segment_Results'!$B$5:$B$34,$G12))</f>
        <v>0.16600000000000001</v>
      </c>
      <c r="L12" s="15" t="str">
        <f>IF(COUNTIFS('10_Raw_Segment_Results'!$A$5:$A$34,$B$6,'10_Raw_Segment_Results'!$B$5:$B$34,$G12,'10_Raw_Segment_Results'!$J$5:$J$34,"&lt;&gt;")=0,"",SUMIFS('10_Raw_Segment_Results'!$J$5:$J$34,'10_Raw_Segment_Results'!$A$5:$A$34,$B$6,'10_Raw_Segment_Results'!$B$5:$B$34,$G12))</f>
        <v/>
      </c>
      <c r="M12" s="16">
        <f t="shared" si="0"/>
        <v>0.33598078222355682</v>
      </c>
      <c r="N12" s="66" t="s">
        <v>405</v>
      </c>
    </row>
    <row r="13" spans="1:14" ht="33.950000000000003" customHeight="1">
      <c r="G13" t="s">
        <v>318</v>
      </c>
      <c r="H13" s="29">
        <f>IFERROR(SUMIFS('10_Raw_Segment_Results'!$C$5:$C$34,'10_Raw_Segment_Results'!$A$5:$A$34,$B$6,'10_Raw_Segment_Results'!$B$5:$B$34,$G13),"")</f>
        <v>1321</v>
      </c>
      <c r="I13" s="9">
        <f>IFERROR(SUMIFS('10_Raw_Segment_Results'!$H$5:$H$34,'10_Raw_Segment_Results'!$A$5:$A$34,$B$6,'10_Raw_Segment_Results'!$B$5:$B$34,$G13),"")</f>
        <v>828</v>
      </c>
      <c r="J13" s="9">
        <f>IFERROR(SUMIFS('10_Raw_Segment_Results'!$F$5:$F$34,'10_Raw_Segment_Results'!$A$5:$A$34,$B$6,'10_Raw_Segment_Results'!$B$5:$B$34,$G13),"")</f>
        <v>0</v>
      </c>
      <c r="K13" s="15">
        <f>IF(COUNTIFS('10_Raw_Segment_Results'!$A$5:$A$34,$B$6,'10_Raw_Segment_Results'!$B$5:$B$34,$G13,'10_Raw_Segment_Results'!$I$5:$I$34,"&lt;&gt;")=0,"",SUMIFS('10_Raw_Segment_Results'!$I$5:$I$34,'10_Raw_Segment_Results'!$A$5:$A$34,$B$6,'10_Raw_Segment_Results'!$B$5:$B$34,$G13))</f>
        <v>0.40699999999999997</v>
      </c>
      <c r="L13" s="15" t="str">
        <f>IF(COUNTIFS('10_Raw_Segment_Results'!$A$5:$A$34,$B$6,'10_Raw_Segment_Results'!$B$5:$B$34,$G13,'10_Raw_Segment_Results'!$J$5:$J$34,"&lt;&gt;")=0,"",SUMIFS('10_Raw_Segment_Results'!$J$5:$J$34,'10_Raw_Segment_Results'!$A$5:$A$34,$B$6,'10_Raw_Segment_Results'!$B$5:$B$34,$G13))</f>
        <v/>
      </c>
      <c r="M13" s="16">
        <f t="shared" si="0"/>
        <v>1.9833345844906539E-2</v>
      </c>
      <c r="N13" s="66" t="s">
        <v>406</v>
      </c>
    </row>
    <row r="14" spans="1:14" ht="33.950000000000003" customHeight="1">
      <c r="G14" t="s">
        <v>319</v>
      </c>
      <c r="H14" s="29">
        <f>IFERROR(SUMIFS('10_Raw_Segment_Results'!$C$5:$C$34,'10_Raw_Segment_Results'!$A$5:$A$34,$B$6,'10_Raw_Segment_Results'!$B$5:$B$34,$G14),"")</f>
        <v>14426</v>
      </c>
      <c r="I14" s="9">
        <f>IFERROR(SUMIFS('10_Raw_Segment_Results'!$H$5:$H$34,'10_Raw_Segment_Results'!$A$5:$A$34,$B$6,'10_Raw_Segment_Results'!$B$5:$B$34,$G14),"")</f>
        <v>5393</v>
      </c>
      <c r="J14" s="9">
        <f>IFERROR(SUMIFS('10_Raw_Segment_Results'!$F$5:$F$34,'10_Raw_Segment_Results'!$A$5:$A$34,$B$6,'10_Raw_Segment_Results'!$B$5:$B$34,$G14),"")</f>
        <v>587</v>
      </c>
      <c r="K14" s="15">
        <f>IF(COUNTIFS('10_Raw_Segment_Results'!$A$5:$A$34,$B$6,'10_Raw_Segment_Results'!$B$5:$B$34,$G14,'10_Raw_Segment_Results'!$I$5:$I$34,"&lt;&gt;")=0,"",SUMIFS('10_Raw_Segment_Results'!$I$5:$I$34,'10_Raw_Segment_Results'!$A$5:$A$34,$B$6,'10_Raw_Segment_Results'!$B$5:$B$34,$G14))</f>
        <v>0.13700000000000001</v>
      </c>
      <c r="L14" s="15" t="str">
        <f>IF(COUNTIFS('10_Raw_Segment_Results'!$A$5:$A$34,$B$6,'10_Raw_Segment_Results'!$B$5:$B$34,$G14,'10_Raw_Segment_Results'!$J$5:$J$34,"&lt;&gt;")=0,"",SUMIFS('10_Raw_Segment_Results'!$J$5:$J$34,'10_Raw_Segment_Results'!$A$5:$A$34,$B$6,'10_Raw_Segment_Results'!$B$5:$B$34,$G14))</f>
        <v/>
      </c>
      <c r="M14" s="16">
        <f t="shared" si="0"/>
        <v>0.21659034607011485</v>
      </c>
      <c r="N14" s="66" t="s">
        <v>407</v>
      </c>
    </row>
    <row r="15" spans="1:14" ht="33.950000000000003" customHeight="1">
      <c r="G15" t="s">
        <v>320</v>
      </c>
      <c r="H15" s="20">
        <f>IFERROR(SUMIFS('10_Raw_Segment_Results'!$C$5:$C$34,'10_Raw_Segment_Results'!$A$5:$A$34,$B$6,'10_Raw_Segment_Results'!$B$5:$B$34,$G15),"")</f>
        <v>64</v>
      </c>
      <c r="I15" s="21">
        <f>IFERROR(SUMIFS('10_Raw_Segment_Results'!$H$5:$H$34,'10_Raw_Segment_Results'!$A$5:$A$34,$B$6,'10_Raw_Segment_Results'!$B$5:$B$34,$G15),"")</f>
        <v>-266</v>
      </c>
      <c r="J15" s="21">
        <f>IFERROR(SUMIFS('10_Raw_Segment_Results'!$F$5:$F$34,'10_Raw_Segment_Results'!$A$5:$A$34,$B$6,'10_Raw_Segment_Results'!$B$5:$B$34,$G15),"")</f>
        <v>0</v>
      </c>
      <c r="K15" s="18" t="str">
        <f>IF(COUNTIFS('10_Raw_Segment_Results'!$A$5:$A$34,$B$6,'10_Raw_Segment_Results'!$B$5:$B$34,$G15,'10_Raw_Segment_Results'!$I$5:$I$34,"&lt;&gt;")=0,"",SUMIFS('10_Raw_Segment_Results'!$I$5:$I$34,'10_Raw_Segment_Results'!$A$5:$A$34,$B$6,'10_Raw_Segment_Results'!$B$5:$B$34,$G15))</f>
        <v/>
      </c>
      <c r="L15" s="18" t="str">
        <f>IF(COUNTIFS('10_Raw_Segment_Results'!$A$5:$A$34,$B$6,'10_Raw_Segment_Results'!$B$5:$B$34,$G15,'10_Raw_Segment_Results'!$J$5:$J$34,"&lt;&gt;")=0,"",SUMIFS('10_Raw_Segment_Results'!$J$5:$J$34,'10_Raw_Segment_Results'!$A$5:$A$34,$B$6,'10_Raw_Segment_Results'!$B$5:$B$34,$G15))</f>
        <v/>
      </c>
      <c r="M15" s="19">
        <f t="shared" si="0"/>
        <v>9.6088882216049845E-4</v>
      </c>
      <c r="N15" s="66" t="s">
        <v>408</v>
      </c>
    </row>
  </sheetData>
  <mergeCells count="3">
    <mergeCell ref="A1:N2"/>
    <mergeCell ref="A8:E8"/>
    <mergeCell ref="G8:N8"/>
  </mergeCells>
  <dataValidations count="2">
    <dataValidation type="list" sqref="B5" xr:uid="{00000000-0002-0000-1400-000000000000}">
      <formula1>_xlfn._LONGTEXT("Net Interest Income,Non-Interest Income,Total Revenue,Provision for Credit Losses,Non-Interest Expense,Income Before Income Taxes,Income Taxes,Net Income,Net Income Available to Common Shareholders,Diluted EPS,ROE,Efficiency Ratio,Operating Leverage,PPPT ","Earnings,Effective Tax Rate")</formula1>
    </dataValidation>
    <dataValidation type="list" sqref="B6" xr:uid="{00000000-0002-0000-1400-000001000000}">
      <formula1>"FY2023,FY2024,FY2025,Q1 2026,Q2 2026"</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1"/>
  <sheetViews>
    <sheetView showGridLines="0" tabSelected="1" topLeftCell="A8" workbookViewId="0">
      <selection activeCell="A28" sqref="A28:C31"/>
    </sheetView>
  </sheetViews>
  <sheetFormatPr defaultRowHeight="14.25"/>
  <cols>
    <col min="1" max="1" width="27" customWidth="1"/>
    <col min="2" max="2" width="20" customWidth="1"/>
    <col min="3" max="3" width="18" customWidth="1"/>
    <col min="4" max="4" width="12" customWidth="1"/>
    <col min="5" max="5" width="18" customWidth="1"/>
    <col min="6" max="6" width="12" customWidth="1"/>
    <col min="7" max="7" width="48" customWidth="1"/>
    <col min="8" max="8" width="34" customWidth="1"/>
    <col min="9" max="13" width="12" customWidth="1"/>
    <col min="14" max="14" width="14" bestFit="1" customWidth="1"/>
    <col min="15" max="15" width="8.625" bestFit="1" customWidth="1"/>
    <col min="16" max="16" width="8.75" bestFit="1" customWidth="1"/>
  </cols>
  <sheetData>
    <row r="1" spans="1:8">
      <c r="A1" s="139" t="s">
        <v>409</v>
      </c>
      <c r="B1" s="139"/>
      <c r="C1" s="139"/>
      <c r="D1" s="139"/>
      <c r="E1" s="139"/>
      <c r="F1" s="139"/>
      <c r="G1" s="139"/>
      <c r="H1" s="139"/>
    </row>
    <row r="2" spans="1:8">
      <c r="A2" s="139"/>
      <c r="B2" s="139"/>
      <c r="C2" s="139"/>
      <c r="D2" s="139"/>
      <c r="E2" s="139"/>
      <c r="F2" s="139"/>
      <c r="G2" s="139"/>
      <c r="H2" s="139"/>
    </row>
    <row r="3" spans="1:8">
      <c r="A3" s="140" t="s">
        <v>410</v>
      </c>
      <c r="B3" s="140"/>
      <c r="C3" s="140"/>
      <c r="D3" s="140"/>
      <c r="E3" s="140"/>
      <c r="F3" s="140"/>
      <c r="G3" s="140"/>
      <c r="H3" s="140"/>
    </row>
    <row r="5" spans="1:8" ht="15">
      <c r="A5" s="59" t="s">
        <v>395</v>
      </c>
      <c r="B5" s="61" t="s">
        <v>396</v>
      </c>
      <c r="E5" s="59" t="s">
        <v>411</v>
      </c>
      <c r="F5" s="60" t="s">
        <v>412</v>
      </c>
      <c r="G5" s="60" t="s">
        <v>413</v>
      </c>
      <c r="H5" s="61" t="s">
        <v>24</v>
      </c>
    </row>
    <row r="6" spans="1:8" ht="24.75">
      <c r="A6" t="s">
        <v>414</v>
      </c>
      <c r="B6" s="67" t="s">
        <v>229</v>
      </c>
      <c r="E6" t="s">
        <v>415</v>
      </c>
      <c r="F6" t="s">
        <v>416</v>
      </c>
      <c r="G6" s="47" t="s">
        <v>417</v>
      </c>
      <c r="H6" s="2" t="s">
        <v>418</v>
      </c>
    </row>
    <row r="7" spans="1:8" ht="24.75">
      <c r="A7" t="s">
        <v>419</v>
      </c>
      <c r="B7" s="67" t="s">
        <v>123</v>
      </c>
      <c r="E7" t="s">
        <v>415</v>
      </c>
      <c r="F7" t="s">
        <v>420</v>
      </c>
      <c r="G7" s="47" t="s">
        <v>421</v>
      </c>
      <c r="H7" s="2" t="s">
        <v>422</v>
      </c>
    </row>
    <row r="8" spans="1:8">
      <c r="E8" t="s">
        <v>423</v>
      </c>
      <c r="F8" t="s">
        <v>424</v>
      </c>
      <c r="G8" s="47" t="s">
        <v>425</v>
      </c>
      <c r="H8" s="2" t="s">
        <v>426</v>
      </c>
    </row>
    <row r="9" spans="1:8" ht="24">
      <c r="A9" s="59" t="s">
        <v>427</v>
      </c>
      <c r="B9" s="60" t="s">
        <v>428</v>
      </c>
      <c r="C9" s="61" t="s">
        <v>429</v>
      </c>
      <c r="E9" t="s">
        <v>430</v>
      </c>
      <c r="F9" t="s">
        <v>431</v>
      </c>
      <c r="G9" s="47" t="s">
        <v>432</v>
      </c>
      <c r="H9" s="2" t="s">
        <v>433</v>
      </c>
    </row>
    <row r="10" spans="1:8" ht="15">
      <c r="A10" t="s">
        <v>434</v>
      </c>
      <c r="B10" s="45">
        <f>IFERROR(INDEX('06_Raw_Quarterly_Performance'!$C$5:$L$19,MATCH($B$6,'06_Raw_Quarterly_Performance'!$A$5:$A$19,0),MATCH($B$7,'06_Raw_Quarterly_Performance'!$C$4:$L$4,0)),"")</f>
        <v>5509</v>
      </c>
      <c r="C10" t="str">
        <f>IFERROR(INDEX('06_Raw_Quarterly_Performance'!$B$5:$B$19,MATCH($B$6,'06_Raw_Quarterly_Performance'!$A$5:$A$19,0)),"")</f>
        <v>CAD millions</v>
      </c>
      <c r="E10" t="s">
        <v>435</v>
      </c>
      <c r="F10" t="s">
        <v>436</v>
      </c>
      <c r="G10" s="47" t="s">
        <v>437</v>
      </c>
      <c r="H10" s="2" t="s">
        <v>438</v>
      </c>
    </row>
    <row r="11" spans="1:8" ht="24.75">
      <c r="A11" t="s">
        <v>439</v>
      </c>
      <c r="B11" s="45">
        <f>IFERROR(INDEX('06_Raw_Quarterly_Performance'!$C$5:$L$19,MATCH($B$6,'06_Raw_Quarterly_Performance'!$A$5:$A$19,0),MATCH($B$7,'06_Raw_Quarterly_Performance'!$C$4:$L$4,0)-1),"")</f>
        <v>5785</v>
      </c>
      <c r="C11" t="str">
        <f>C10</f>
        <v>CAD millions</v>
      </c>
      <c r="E11" t="s">
        <v>440</v>
      </c>
      <c r="F11" t="s">
        <v>441</v>
      </c>
      <c r="G11" s="47" t="s">
        <v>442</v>
      </c>
      <c r="H11" s="2" t="s">
        <v>443</v>
      </c>
    </row>
    <row r="12" spans="1:8" ht="15">
      <c r="A12" t="s">
        <v>444</v>
      </c>
      <c r="B12" s="46">
        <f>IFERROR(B10/B11-1,"")</f>
        <v>-4.7709593777009562E-2</v>
      </c>
      <c r="C12" t="s">
        <v>445</v>
      </c>
      <c r="E12" t="s">
        <v>446</v>
      </c>
      <c r="F12" t="s">
        <v>441</v>
      </c>
      <c r="G12" s="47" t="s">
        <v>447</v>
      </c>
      <c r="H12" s="2" t="s">
        <v>448</v>
      </c>
    </row>
    <row r="13" spans="1:8" ht="15">
      <c r="A13" t="s">
        <v>449</v>
      </c>
      <c r="B13" s="46">
        <f>IFERROR(B10/INDEX('06_Raw_Quarterly_Performance'!$C$5:$L$19,MATCH($B$6,'06_Raw_Quarterly_Performance'!$A$5:$A$19,0),MATCH($B$7,'06_Raw_Quarterly_Performance'!$C$4:$L$4,0)-4)-1,"")</f>
        <v>0.25489749430523911</v>
      </c>
      <c r="C13" t="s">
        <v>445</v>
      </c>
    </row>
    <row r="14" spans="1:8" ht="15">
      <c r="A14" t="s">
        <v>450</v>
      </c>
      <c r="B14" s="45" t="str">
        <f>IF(B11="","Not available",IF(OR(B6="Provision for Credit Losses",B6="Non-Interest Expense",B6="Efficiency Ratio"),IF(B10&lt;B11,"Favourable","Unfavourable"),IF(B10&gt;B11,"Favourable","Unfavourable")))</f>
        <v>Unfavourable</v>
      </c>
      <c r="C14" t="s">
        <v>451</v>
      </c>
    </row>
    <row r="15" spans="1:8" ht="15">
      <c r="A15" t="s">
        <v>452</v>
      </c>
      <c r="B15" s="45">
        <f>IFERROR(RANK(B10,B18:K18,0),"")</f>
        <v>2</v>
      </c>
      <c r="C15" t="s">
        <v>453</v>
      </c>
    </row>
    <row r="17" spans="1:16" ht="15">
      <c r="A17" s="59" t="s">
        <v>454</v>
      </c>
      <c r="B17" s="70" t="s">
        <v>244</v>
      </c>
      <c r="C17" s="70" t="s">
        <v>245</v>
      </c>
      <c r="D17" s="70" t="s">
        <v>246</v>
      </c>
      <c r="E17" s="70" t="s">
        <v>247</v>
      </c>
      <c r="F17" s="70" t="s">
        <v>248</v>
      </c>
      <c r="G17" s="70" t="s">
        <v>249</v>
      </c>
      <c r="H17" s="70" t="s">
        <v>250</v>
      </c>
      <c r="I17" s="70" t="s">
        <v>251</v>
      </c>
      <c r="J17" s="70" t="s">
        <v>252</v>
      </c>
      <c r="K17" s="70" t="s">
        <v>123</v>
      </c>
      <c r="L17" s="61" t="s">
        <v>455</v>
      </c>
    </row>
    <row r="18" spans="1:16">
      <c r="A18" t="str">
        <f>$B$6</f>
        <v>Net Income</v>
      </c>
      <c r="B18" s="48">
        <f>IFERROR(INDEX('06_Raw_Quarterly_Performance'!$C$5:$L$19,MATCH($B$6,'06_Raw_Quarterly_Performance'!$A$5:$A$19,0),MATCH(B$17,'06_Raw_Quarterly_Performance'!$C$4:$L$4,0)),"")</f>
        <v>3582</v>
      </c>
      <c r="C18" s="48">
        <f>IFERROR(INDEX('06_Raw_Quarterly_Performance'!$C$5:$L$19,MATCH($B$6,'06_Raw_Quarterly_Performance'!$A$5:$A$19,0),MATCH(C$17,'06_Raw_Quarterly_Performance'!$C$4:$L$4,0)),"")</f>
        <v>3950</v>
      </c>
      <c r="D18" s="48">
        <f>IFERROR(INDEX('06_Raw_Quarterly_Performance'!$C$5:$L$19,MATCH($B$6,'06_Raw_Quarterly_Performance'!$A$5:$A$19,0),MATCH(D$17,'06_Raw_Quarterly_Performance'!$C$4:$L$4,0)),"")</f>
        <v>4486</v>
      </c>
      <c r="E18" s="48">
        <f>IFERROR(INDEX('06_Raw_Quarterly_Performance'!$C$5:$L$19,MATCH($B$6,'06_Raw_Quarterly_Performance'!$A$5:$A$19,0),MATCH(E$17,'06_Raw_Quarterly_Performance'!$C$4:$L$4,0)),"")</f>
        <v>4222</v>
      </c>
      <c r="F18" s="48">
        <f>IFERROR(INDEX('06_Raw_Quarterly_Performance'!$C$5:$L$19,MATCH($B$6,'06_Raw_Quarterly_Performance'!$A$5:$A$19,0),MATCH(F$17,'06_Raw_Quarterly_Performance'!$C$4:$L$4,0)),"")</f>
        <v>5131</v>
      </c>
      <c r="G18" s="48">
        <f>IFERROR(INDEX('06_Raw_Quarterly_Performance'!$C$5:$L$19,MATCH($B$6,'06_Raw_Quarterly_Performance'!$A$5:$A$19,0),MATCH(G$17,'06_Raw_Quarterly_Performance'!$C$4:$L$4,0)),"")</f>
        <v>4390</v>
      </c>
      <c r="H18" s="48">
        <f>IFERROR(INDEX('06_Raw_Quarterly_Performance'!$C$5:$L$19,MATCH($B$6,'06_Raw_Quarterly_Performance'!$A$5:$A$19,0),MATCH(H$17,'06_Raw_Quarterly_Performance'!$C$4:$L$4,0)),"")</f>
        <v>5414</v>
      </c>
      <c r="I18" s="48">
        <f>IFERROR(INDEX('06_Raw_Quarterly_Performance'!$C$5:$L$19,MATCH($B$6,'06_Raw_Quarterly_Performance'!$A$5:$A$19,0),MATCH(I$17,'06_Raw_Quarterly_Performance'!$C$4:$L$4,0)),"")</f>
        <v>5434</v>
      </c>
      <c r="J18" s="48">
        <f>IFERROR(INDEX('06_Raw_Quarterly_Performance'!$C$5:$L$19,MATCH($B$6,'06_Raw_Quarterly_Performance'!$A$5:$A$19,0),MATCH(J$17,'06_Raw_Quarterly_Performance'!$C$4:$L$4,0)),"")</f>
        <v>5785</v>
      </c>
      <c r="K18" s="48">
        <f>IFERROR(INDEX('06_Raw_Quarterly_Performance'!$C$5:$L$19,MATCH($B$6,'06_Raw_Quarterly_Performance'!$A$5:$A$19,0),MATCH(K$17,'06_Raw_Quarterly_Performance'!$C$4:$L$4,0)),"")</f>
        <v>5509</v>
      </c>
    </row>
    <row r="21" spans="1:16" ht="15">
      <c r="A21" s="59" t="s">
        <v>456</v>
      </c>
      <c r="B21" s="61" t="s">
        <v>396</v>
      </c>
    </row>
    <row r="22" spans="1:16" ht="15">
      <c r="A22" t="s">
        <v>398</v>
      </c>
      <c r="B22" s="67" t="s">
        <v>105</v>
      </c>
    </row>
    <row r="23" spans="1:16" ht="15">
      <c r="A23" t="s">
        <v>457</v>
      </c>
      <c r="B23" s="67" t="s">
        <v>229</v>
      </c>
    </row>
    <row r="25" spans="1:16" ht="30">
      <c r="A25" s="59" t="s">
        <v>458</v>
      </c>
      <c r="B25" s="60" t="s">
        <v>313</v>
      </c>
      <c r="C25" s="61" t="s">
        <v>459</v>
      </c>
      <c r="N25" s="68" t="s">
        <v>460</v>
      </c>
      <c r="O25" s="68" t="s">
        <v>461</v>
      </c>
      <c r="P25" s="68" t="s">
        <v>462</v>
      </c>
    </row>
    <row r="26" spans="1:16">
      <c r="A26" s="49">
        <v>1</v>
      </c>
      <c r="B26" s="52" t="str">
        <f t="array" ref="B26:B31">IFERROR(INDEX($N$26:$N$31,MATCH($A26,$P$26:$P$31,0)),"")</f>
        <v>Personal Banking</v>
      </c>
      <c r="C26" s="53">
        <f t="array" ref="C26:C31">IFERROR(INDEX($O$26:$O$31,MATCH($A26,$P$26:$P$31,0)),"")</f>
        <v>7105</v>
      </c>
      <c r="N26" s="68" t="s">
        <v>314</v>
      </c>
      <c r="O26" s="68">
        <f>IF(COUNTIFS('23_Pivot_Source'!$A$5:$A$439,"Segment",'23_Pivot_Source'!$B$5:$B$439,$B$22,'23_Pivot_Source'!$D$5:$D$439,$N26,'23_Pivot_Source'!$E$5:$E$439,$B$23,'23_Pivot_Source'!$G$5:$G$439,"&lt;&gt;")=0,"",SUMIFS('23_Pivot_Source'!$G$5:$G$439,'23_Pivot_Source'!$A$5:$A$439,"Segment",'23_Pivot_Source'!$B$5:$B$439,$B$22,'23_Pivot_Source'!$D$5:$D$439,$N26,'23_Pivot_Source'!$E$5:$E$439,$B$23))</f>
        <v>7105</v>
      </c>
      <c r="P26" s="68">
        <f>IF(O26="","",COUNTIF($O$26:$O$31,"&gt;"&amp;O26)+COUNTIF($O$26:O26,O26))</f>
        <v>1</v>
      </c>
    </row>
    <row r="27" spans="1:16">
      <c r="A27" s="50">
        <v>2</v>
      </c>
      <c r="B27" s="32" t="str">
        <v>Personal Banking</v>
      </c>
      <c r="C27" s="54">
        <v>7105</v>
      </c>
      <c r="N27" s="68" t="s">
        <v>316</v>
      </c>
      <c r="O27" s="68">
        <f>IF(COUNTIFS('23_Pivot_Source'!$A$5:$A$439,"Segment",'23_Pivot_Source'!$B$5:$B$439,$B$22,'23_Pivot_Source'!$D$5:$D$439,$N27,'23_Pivot_Source'!$E$5:$E$439,$B$23,'23_Pivot_Source'!$G$5:$G$439,"&lt;&gt;")=0,"",SUMIFS('23_Pivot_Source'!$G$5:$G$439,'23_Pivot_Source'!$A$5:$A$439,"Segment",'23_Pivot_Source'!$B$5:$B$439,$B$22,'23_Pivot_Source'!$D$5:$D$439,$N27,'23_Pivot_Source'!$E$5:$E$439,$B$23))</f>
        <v>3020</v>
      </c>
      <c r="P27" s="68">
        <f>IF(O27="","",COUNTIF($O$26:$O$31,"&gt;"&amp;O27)+COUNTIF($O$26:O27,O27))</f>
        <v>4</v>
      </c>
    </row>
    <row r="28" spans="1:16">
      <c r="A28" s="50">
        <v>3</v>
      </c>
      <c r="B28" s="32" t="str">
        <v>Personal Banking</v>
      </c>
      <c r="C28" s="54">
        <v>7105</v>
      </c>
      <c r="N28" s="68" t="s">
        <v>317</v>
      </c>
      <c r="O28" s="68">
        <f>IF(COUNTIFS('23_Pivot_Source'!$A$5:$A$439,"Segment",'23_Pivot_Source'!$B$5:$B$439,$B$22,'23_Pivot_Source'!$D$5:$D$439,$N28,'23_Pivot_Source'!$E$5:$E$439,$B$23,'23_Pivot_Source'!$G$5:$G$439,"&lt;&gt;")=0,"",SUMIFS('23_Pivot_Source'!$G$5:$G$439,'23_Pivot_Source'!$A$5:$A$439,"Segment",'23_Pivot_Source'!$B$5:$B$439,$B$22,'23_Pivot_Source'!$D$5:$D$439,$N28,'23_Pivot_Source'!$E$5:$E$439,$B$23))</f>
        <v>4289</v>
      </c>
      <c r="P28" s="68">
        <f>IF(O28="","",COUNTIF($O$26:$O$31,"&gt;"&amp;O28)+COUNTIF($O$26:O28,O28))</f>
        <v>3</v>
      </c>
    </row>
    <row r="29" spans="1:16">
      <c r="A29" s="50">
        <v>4</v>
      </c>
      <c r="B29" s="32" t="str">
        <v>Personal Banking</v>
      </c>
      <c r="C29" s="54">
        <v>7105</v>
      </c>
      <c r="N29" s="68" t="s">
        <v>318</v>
      </c>
      <c r="O29" s="68">
        <f>IF(COUNTIFS('23_Pivot_Source'!$A$5:$A$439,"Segment",'23_Pivot_Source'!$B$5:$B$439,$B$22,'23_Pivot_Source'!$D$5:$D$439,$N29,'23_Pivot_Source'!$E$5:$E$439,$B$23,'23_Pivot_Source'!$G$5:$G$439,"&lt;&gt;")=0,"",SUMIFS('23_Pivot_Source'!$G$5:$G$439,'23_Pivot_Source'!$A$5:$A$439,"Segment",'23_Pivot_Source'!$B$5:$B$439,$B$22,'23_Pivot_Source'!$D$5:$D$439,$N29,'23_Pivot_Source'!$E$5:$E$439,$B$23))</f>
        <v>828</v>
      </c>
      <c r="P29" s="68">
        <f>IF(O29="","",COUNTIF($O$26:$O$31,"&gt;"&amp;O29)+COUNTIF($O$26:O29,O29))</f>
        <v>5</v>
      </c>
    </row>
    <row r="30" spans="1:16">
      <c r="A30" s="50">
        <v>5</v>
      </c>
      <c r="B30" s="32" t="str">
        <v>Personal Banking</v>
      </c>
      <c r="C30" s="54">
        <v>7105</v>
      </c>
      <c r="N30" s="68" t="s">
        <v>319</v>
      </c>
      <c r="O30" s="68">
        <f>IF(COUNTIFS('23_Pivot_Source'!$A$5:$A$439,"Segment",'23_Pivot_Source'!$B$5:$B$439,$B$22,'23_Pivot_Source'!$D$5:$D$439,$N30,'23_Pivot_Source'!$E$5:$E$439,$B$23,'23_Pivot_Source'!$G$5:$G$439,"&lt;&gt;")=0,"",SUMIFS('23_Pivot_Source'!$G$5:$G$439,'23_Pivot_Source'!$A$5:$A$439,"Segment",'23_Pivot_Source'!$B$5:$B$439,$B$22,'23_Pivot_Source'!$D$5:$D$439,$N30,'23_Pivot_Source'!$E$5:$E$439,$B$23))</f>
        <v>5393</v>
      </c>
      <c r="P30" s="68">
        <f>IF(O30="","",COUNTIF($O$26:$O$31,"&gt;"&amp;O30)+COUNTIF($O$26:O30,O30))</f>
        <v>2</v>
      </c>
    </row>
    <row r="31" spans="1:16">
      <c r="A31" s="51">
        <v>6</v>
      </c>
      <c r="B31" s="55" t="str">
        <v>Personal Banking</v>
      </c>
      <c r="C31" s="56">
        <v>7105</v>
      </c>
      <c r="N31" s="68" t="s">
        <v>320</v>
      </c>
      <c r="O31" s="68">
        <f>IF(COUNTIFS('23_Pivot_Source'!$A$5:$A$439,"Segment",'23_Pivot_Source'!$B$5:$B$439,$B$22,'23_Pivot_Source'!$D$5:$D$439,$N31,'23_Pivot_Source'!$E$5:$E$439,$B$23,'23_Pivot_Source'!$G$5:$G$439,"&lt;&gt;")=0,"",SUMIFS('23_Pivot_Source'!$G$5:$G$439,'23_Pivot_Source'!$A$5:$A$439,"Segment",'23_Pivot_Source'!$B$5:$B$439,$B$22,'23_Pivot_Source'!$D$5:$D$439,$N31,'23_Pivot_Source'!$E$5:$E$439,$B$23))</f>
        <v>-266</v>
      </c>
      <c r="P31" s="68">
        <f>IF(O31="","",COUNTIF($O$26:$O$31,"&gt;"&amp;O31)+COUNTIF($O$26:O31,O31))</f>
        <v>6</v>
      </c>
    </row>
  </sheetData>
  <mergeCells count="2">
    <mergeCell ref="A1:H2"/>
    <mergeCell ref="A3:H3"/>
  </mergeCells>
  <conditionalFormatting sqref="C26:C31">
    <cfRule type="dataBar" priority="3">
      <dataBar>
        <cfvo type="min"/>
        <cfvo type="max"/>
        <color rgb="FF5B9BD5"/>
      </dataBar>
    </cfRule>
  </conditionalFormatting>
  <conditionalFormatting sqref="B14">
    <cfRule type="expression" dxfId="9" priority="4">
      <formula>B14="Favourable"</formula>
    </cfRule>
    <cfRule type="expression" dxfId="8" priority="5">
      <formula>B14="Unfavourable"</formula>
    </cfRule>
  </conditionalFormatting>
  <conditionalFormatting sqref="C26:C31">
    <cfRule type="dataBar" priority="6">
      <dataBar>
        <cfvo type="min"/>
        <cfvo type="max"/>
        <color rgb="FF5B9BD5"/>
      </dataBar>
      <extLst>
        <ext xmlns:x14="http://schemas.microsoft.com/office/spreadsheetml/2009/9/main" uri="{B025F937-C7B1-47D3-B67F-A62EFF666E3E}">
          <x14:id>{684EAF79-73A1-FEB9-307C-8C0C880A46D7}</x14:id>
        </ext>
      </extLst>
    </cfRule>
  </conditionalFormatting>
  <dataValidations count="4">
    <dataValidation type="list" sqref="B6" xr:uid="{00000000-0002-0000-1600-000000000000}">
      <formula1>_xlfn._LONGTEXT("Net Interest Income,Non-Interest Income,Total Revenue,Provision for Credit Losses,Non-Interest Expense,Income Before Income Taxes,Income Taxes,Net Income,Net Income Available to Common Shareholders,Diluted EPS,ROE,Efficiency Ratio,Operating Leverage,PPPT ","Earnings,Effective Tax Rate")</formula1>
    </dataValidation>
    <dataValidation type="list" sqref="B7" xr:uid="{00000000-0002-0000-1600-000001000000}">
      <formula1>"Q1 2024,Q2 2024,Q3 2024,Q4 2024,Q1 2025,Q2 2025,Q3 2025,Q4 2025,Q1 2026,Q2 2026"</formula1>
    </dataValidation>
    <dataValidation type="list" sqref="B22" xr:uid="{00000000-0002-0000-1600-000002000000}">
      <formula1>"FY2023,FY2024,FY2025,Q1 2026,Q2 2026"</formula1>
    </dataValidation>
    <dataValidation type="list" sqref="B23" xr:uid="{00000000-0002-0000-1600-000003000000}">
      <formula1>"Total Revenue,Net Interest Income,Non-Interest Income,PCL,Non-Interest Expense,Net Income,ROE,Efficiency Ratio"</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84EAF79-73A1-FEB9-307C-8C0C880A46D7}">
            <x14:dataBar>
              <x14:cfvo type="min"/>
              <x14:cfvo type="max"/>
              <x14:negativeFillColor auto="1"/>
              <x14:axisColor auto="1"/>
            </x14:dataBar>
          </x14:cfRule>
          <xm:sqref>C26:C31</xm:sqref>
        </x14:conditionalFormatting>
      </x14:conditionalFormattings>
    </ext>
    <ext xmlns:x14="http://schemas.microsoft.com/office/spreadsheetml/2009/9/main" uri="{05C60535-1F16-4fd2-B633-F4F36F0B64E0}">
      <x14:sparklineGroups xmlns:xm="http://schemas.microsoft.com/office/excel/2006/main">
        <x14:sparklineGroup lineWeight="1" displayEmptyCellsAs="gap" displayXAxis="1" xr2:uid="{32653702-EFA3-4948-B396-364919C33E65}">
          <x14:colorSeries rgb="FF1F4E78"/>
          <x14:sparklines>
            <x14:sparkline>
              <xm:f>'22_Advanced_Excel'!B18:K18</xm:f>
              <xm:sqref>L18</xm:sqref>
            </x14:sparkline>
          </x14:sparklines>
        </x14:sparklineGroup>
      </x14:sparklineGroup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439"/>
  <sheetViews>
    <sheetView topLeftCell="A4" workbookViewId="0">
      <selection activeCell="A5" sqref="A5:I439"/>
    </sheetView>
  </sheetViews>
  <sheetFormatPr defaultRowHeight="14.25"/>
  <cols>
    <col min="1" max="1" width="23" customWidth="1"/>
    <col min="2" max="2" width="14" customWidth="1"/>
    <col min="3" max="3" width="12" customWidth="1"/>
    <col min="4" max="4" width="24" customWidth="1"/>
    <col min="5" max="5" width="36" customWidth="1"/>
    <col min="6" max="6" width="16" customWidth="1"/>
    <col min="7" max="7" width="15" customWidth="1"/>
    <col min="8" max="8" width="31" customWidth="1"/>
    <col min="9" max="9" width="13" customWidth="1"/>
  </cols>
  <sheetData>
    <row r="1" spans="1:9">
      <c r="A1" s="139" t="s">
        <v>463</v>
      </c>
      <c r="B1" s="139"/>
      <c r="C1" s="139"/>
      <c r="D1" s="139"/>
      <c r="E1" s="139"/>
      <c r="F1" s="139"/>
      <c r="G1" s="139"/>
      <c r="H1" s="139"/>
      <c r="I1" s="139"/>
    </row>
    <row r="2" spans="1:9">
      <c r="A2" s="139"/>
      <c r="B2" s="139"/>
      <c r="C2" s="139"/>
      <c r="D2" s="139"/>
      <c r="E2" s="139"/>
      <c r="F2" s="139"/>
      <c r="G2" s="139"/>
      <c r="H2" s="139"/>
      <c r="I2" s="139"/>
    </row>
    <row r="3" spans="1:9">
      <c r="A3" s="140" t="s">
        <v>464</v>
      </c>
      <c r="B3" s="140"/>
      <c r="C3" s="140"/>
      <c r="D3" s="140"/>
      <c r="E3" s="140"/>
      <c r="F3" s="140"/>
      <c r="G3" s="140"/>
      <c r="H3" s="140"/>
      <c r="I3" s="140"/>
    </row>
    <row r="4" spans="1:9" ht="30">
      <c r="A4" s="59" t="s">
        <v>465</v>
      </c>
      <c r="B4" s="60" t="s">
        <v>312</v>
      </c>
      <c r="C4" s="60" t="s">
        <v>466</v>
      </c>
      <c r="D4" s="60" t="s">
        <v>313</v>
      </c>
      <c r="E4" s="60" t="s">
        <v>217</v>
      </c>
      <c r="F4" s="60" t="s">
        <v>218</v>
      </c>
      <c r="G4" s="60" t="s">
        <v>369</v>
      </c>
      <c r="H4" s="60" t="s">
        <v>467</v>
      </c>
      <c r="I4" s="61" t="s">
        <v>468</v>
      </c>
    </row>
    <row r="5" spans="1:9">
      <c r="A5" s="44" t="s">
        <v>469</v>
      </c>
      <c r="B5" s="44" t="s">
        <v>219</v>
      </c>
      <c r="C5" s="44">
        <v>1</v>
      </c>
      <c r="D5" s="44" t="s">
        <v>470</v>
      </c>
      <c r="E5" s="44" t="s">
        <v>150</v>
      </c>
      <c r="F5" s="44" t="s">
        <v>221</v>
      </c>
      <c r="G5" s="9">
        <f>'05_Raw_Annual_Performance'!C5</f>
        <v>25129</v>
      </c>
      <c r="H5" s="62" t="s">
        <v>471</v>
      </c>
      <c r="I5" s="62" t="s">
        <v>472</v>
      </c>
    </row>
    <row r="6" spans="1:9">
      <c r="A6" s="44" t="s">
        <v>469</v>
      </c>
      <c r="B6" s="44" t="s">
        <v>220</v>
      </c>
      <c r="C6" s="44">
        <v>2</v>
      </c>
      <c r="D6" s="44" t="s">
        <v>470</v>
      </c>
      <c r="E6" s="44" t="s">
        <v>150</v>
      </c>
      <c r="F6" s="44" t="s">
        <v>221</v>
      </c>
      <c r="G6" s="9">
        <f>'05_Raw_Annual_Performance'!D5</f>
        <v>27953</v>
      </c>
      <c r="H6" s="62" t="s">
        <v>471</v>
      </c>
      <c r="I6" s="62" t="s">
        <v>473</v>
      </c>
    </row>
    <row r="7" spans="1:9">
      <c r="A7" s="44" t="s">
        <v>469</v>
      </c>
      <c r="B7" s="44" t="s">
        <v>105</v>
      </c>
      <c r="C7" s="44">
        <v>3</v>
      </c>
      <c r="D7" s="44" t="s">
        <v>470</v>
      </c>
      <c r="E7" s="44" t="s">
        <v>150</v>
      </c>
      <c r="F7" s="44" t="s">
        <v>221</v>
      </c>
      <c r="G7" s="9">
        <f>'05_Raw_Annual_Performance'!E5</f>
        <v>33000</v>
      </c>
      <c r="H7" s="62" t="s">
        <v>471</v>
      </c>
      <c r="I7" s="62" t="s">
        <v>474</v>
      </c>
    </row>
    <row r="8" spans="1:9">
      <c r="A8" s="44" t="s">
        <v>469</v>
      </c>
      <c r="B8" s="44" t="s">
        <v>219</v>
      </c>
      <c r="C8" s="44">
        <v>1</v>
      </c>
      <c r="D8" s="44" t="s">
        <v>470</v>
      </c>
      <c r="E8" s="44" t="s">
        <v>155</v>
      </c>
      <c r="F8" s="44" t="s">
        <v>221</v>
      </c>
      <c r="G8" s="9">
        <f>'05_Raw_Annual_Performance'!C6</f>
        <v>26335</v>
      </c>
      <c r="H8" s="62" t="s">
        <v>471</v>
      </c>
      <c r="I8" s="62" t="s">
        <v>475</v>
      </c>
    </row>
    <row r="9" spans="1:9">
      <c r="A9" s="44" t="s">
        <v>469</v>
      </c>
      <c r="B9" s="44" t="s">
        <v>220</v>
      </c>
      <c r="C9" s="44">
        <v>2</v>
      </c>
      <c r="D9" s="44" t="s">
        <v>470</v>
      </c>
      <c r="E9" s="44" t="s">
        <v>155</v>
      </c>
      <c r="F9" s="44" t="s">
        <v>221</v>
      </c>
      <c r="G9" s="9">
        <f>'05_Raw_Annual_Performance'!D6</f>
        <v>29391</v>
      </c>
      <c r="H9" s="62" t="s">
        <v>471</v>
      </c>
      <c r="I9" s="62" t="s">
        <v>476</v>
      </c>
    </row>
    <row r="10" spans="1:9">
      <c r="A10" s="44" t="s">
        <v>469</v>
      </c>
      <c r="B10" s="44" t="s">
        <v>105</v>
      </c>
      <c r="C10" s="44">
        <v>3</v>
      </c>
      <c r="D10" s="44" t="s">
        <v>470</v>
      </c>
      <c r="E10" s="44" t="s">
        <v>155</v>
      </c>
      <c r="F10" s="44" t="s">
        <v>221</v>
      </c>
      <c r="G10" s="9">
        <f>'05_Raw_Annual_Performance'!E6</f>
        <v>33605</v>
      </c>
      <c r="H10" s="62" t="s">
        <v>471</v>
      </c>
      <c r="I10" s="62" t="s">
        <v>477</v>
      </c>
    </row>
    <row r="11" spans="1:9">
      <c r="A11" s="44" t="s">
        <v>469</v>
      </c>
      <c r="B11" s="44" t="s">
        <v>219</v>
      </c>
      <c r="C11" s="44">
        <v>1</v>
      </c>
      <c r="D11" s="44" t="s">
        <v>470</v>
      </c>
      <c r="E11" s="44" t="s">
        <v>225</v>
      </c>
      <c r="F11" s="44" t="s">
        <v>221</v>
      </c>
      <c r="G11" s="9">
        <f>'05_Raw_Annual_Performance'!C7</f>
        <v>51464</v>
      </c>
      <c r="H11" s="62" t="s">
        <v>471</v>
      </c>
      <c r="I11" s="62" t="s">
        <v>478</v>
      </c>
    </row>
    <row r="12" spans="1:9">
      <c r="A12" s="44" t="s">
        <v>469</v>
      </c>
      <c r="B12" s="44" t="s">
        <v>220</v>
      </c>
      <c r="C12" s="44">
        <v>2</v>
      </c>
      <c r="D12" s="44" t="s">
        <v>470</v>
      </c>
      <c r="E12" s="44" t="s">
        <v>225</v>
      </c>
      <c r="F12" s="44" t="s">
        <v>221</v>
      </c>
      <c r="G12" s="9">
        <f>'05_Raw_Annual_Performance'!D7</f>
        <v>57344</v>
      </c>
      <c r="H12" s="62" t="s">
        <v>471</v>
      </c>
      <c r="I12" s="62" t="s">
        <v>479</v>
      </c>
    </row>
    <row r="13" spans="1:9">
      <c r="A13" s="44" t="s">
        <v>469</v>
      </c>
      <c r="B13" s="44" t="s">
        <v>105</v>
      </c>
      <c r="C13" s="44">
        <v>3</v>
      </c>
      <c r="D13" s="44" t="s">
        <v>470</v>
      </c>
      <c r="E13" s="44" t="s">
        <v>225</v>
      </c>
      <c r="F13" s="44" t="s">
        <v>221</v>
      </c>
      <c r="G13" s="9">
        <f>'05_Raw_Annual_Performance'!E7</f>
        <v>66605</v>
      </c>
      <c r="H13" s="62" t="s">
        <v>471</v>
      </c>
      <c r="I13" s="62" t="s">
        <v>480</v>
      </c>
    </row>
    <row r="14" spans="1:9">
      <c r="A14" s="44" t="s">
        <v>469</v>
      </c>
      <c r="B14" s="44" t="s">
        <v>219</v>
      </c>
      <c r="C14" s="44">
        <v>1</v>
      </c>
      <c r="D14" s="44" t="s">
        <v>470</v>
      </c>
      <c r="E14" s="44" t="s">
        <v>160</v>
      </c>
      <c r="F14" s="44" t="s">
        <v>221</v>
      </c>
      <c r="G14" s="9">
        <f>'05_Raw_Annual_Performance'!C8</f>
        <v>2468</v>
      </c>
      <c r="H14" s="62" t="s">
        <v>471</v>
      </c>
      <c r="I14" s="62" t="s">
        <v>481</v>
      </c>
    </row>
    <row r="15" spans="1:9">
      <c r="A15" s="44" t="s">
        <v>469</v>
      </c>
      <c r="B15" s="44" t="s">
        <v>220</v>
      </c>
      <c r="C15" s="44">
        <v>2</v>
      </c>
      <c r="D15" s="44" t="s">
        <v>470</v>
      </c>
      <c r="E15" s="44" t="s">
        <v>160</v>
      </c>
      <c r="F15" s="44" t="s">
        <v>221</v>
      </c>
      <c r="G15" s="9">
        <f>'05_Raw_Annual_Performance'!D8</f>
        <v>3232</v>
      </c>
      <c r="H15" s="62" t="s">
        <v>471</v>
      </c>
      <c r="I15" s="62" t="s">
        <v>482</v>
      </c>
    </row>
    <row r="16" spans="1:9">
      <c r="A16" s="44" t="s">
        <v>469</v>
      </c>
      <c r="B16" s="44" t="s">
        <v>105</v>
      </c>
      <c r="C16" s="44">
        <v>3</v>
      </c>
      <c r="D16" s="44" t="s">
        <v>470</v>
      </c>
      <c r="E16" s="44" t="s">
        <v>160</v>
      </c>
      <c r="F16" s="44" t="s">
        <v>221</v>
      </c>
      <c r="G16" s="9">
        <f>'05_Raw_Annual_Performance'!E8</f>
        <v>4362</v>
      </c>
      <c r="H16" s="62" t="s">
        <v>471</v>
      </c>
      <c r="I16" s="62" t="s">
        <v>483</v>
      </c>
    </row>
    <row r="17" spans="1:9">
      <c r="A17" s="44" t="s">
        <v>469</v>
      </c>
      <c r="B17" s="44" t="s">
        <v>219</v>
      </c>
      <c r="C17" s="44">
        <v>1</v>
      </c>
      <c r="D17" s="44" t="s">
        <v>470</v>
      </c>
      <c r="E17" s="44" t="s">
        <v>226</v>
      </c>
      <c r="F17" s="44" t="s">
        <v>221</v>
      </c>
      <c r="G17" s="9">
        <f>'05_Raw_Annual_Performance'!C9</f>
        <v>30813</v>
      </c>
      <c r="H17" s="62" t="s">
        <v>471</v>
      </c>
      <c r="I17" s="62" t="s">
        <v>484</v>
      </c>
    </row>
    <row r="18" spans="1:9">
      <c r="A18" s="44" t="s">
        <v>469</v>
      </c>
      <c r="B18" s="44" t="s">
        <v>220</v>
      </c>
      <c r="C18" s="44">
        <v>2</v>
      </c>
      <c r="D18" s="44" t="s">
        <v>470</v>
      </c>
      <c r="E18" s="44" t="s">
        <v>226</v>
      </c>
      <c r="F18" s="44" t="s">
        <v>221</v>
      </c>
      <c r="G18" s="9">
        <f>'05_Raw_Annual_Performance'!D9</f>
        <v>34250</v>
      </c>
      <c r="H18" s="62" t="s">
        <v>471</v>
      </c>
      <c r="I18" s="62" t="s">
        <v>485</v>
      </c>
    </row>
    <row r="19" spans="1:9">
      <c r="A19" s="44" t="s">
        <v>469</v>
      </c>
      <c r="B19" s="44" t="s">
        <v>105</v>
      </c>
      <c r="C19" s="44">
        <v>3</v>
      </c>
      <c r="D19" s="44" t="s">
        <v>470</v>
      </c>
      <c r="E19" s="44" t="s">
        <v>226</v>
      </c>
      <c r="F19" s="44" t="s">
        <v>221</v>
      </c>
      <c r="G19" s="9">
        <f>'05_Raw_Annual_Performance'!E9</f>
        <v>36592</v>
      </c>
      <c r="H19" s="62" t="s">
        <v>471</v>
      </c>
      <c r="I19" s="62" t="s">
        <v>486</v>
      </c>
    </row>
    <row r="20" spans="1:9">
      <c r="A20" s="44" t="s">
        <v>469</v>
      </c>
      <c r="B20" s="44" t="s">
        <v>219</v>
      </c>
      <c r="C20" s="44">
        <v>1</v>
      </c>
      <c r="D20" s="44" t="s">
        <v>470</v>
      </c>
      <c r="E20" s="44" t="s">
        <v>227</v>
      </c>
      <c r="F20" s="44" t="s">
        <v>221</v>
      </c>
      <c r="G20" s="9">
        <f>'05_Raw_Annual_Performance'!C10</f>
        <v>18183</v>
      </c>
      <c r="H20" s="62" t="s">
        <v>471</v>
      </c>
      <c r="I20" s="62" t="s">
        <v>487</v>
      </c>
    </row>
    <row r="21" spans="1:9">
      <c r="A21" s="44" t="s">
        <v>469</v>
      </c>
      <c r="B21" s="44" t="s">
        <v>220</v>
      </c>
      <c r="C21" s="44">
        <v>2</v>
      </c>
      <c r="D21" s="44" t="s">
        <v>470</v>
      </c>
      <c r="E21" s="44" t="s">
        <v>227</v>
      </c>
      <c r="F21" s="44" t="s">
        <v>221</v>
      </c>
      <c r="G21" s="9">
        <f>'05_Raw_Annual_Performance'!D10</f>
        <v>19862</v>
      </c>
      <c r="H21" s="62" t="s">
        <v>471</v>
      </c>
      <c r="I21" s="62" t="s">
        <v>488</v>
      </c>
    </row>
    <row r="22" spans="1:9">
      <c r="A22" s="44" t="s">
        <v>469</v>
      </c>
      <c r="B22" s="44" t="s">
        <v>105</v>
      </c>
      <c r="C22" s="44">
        <v>3</v>
      </c>
      <c r="D22" s="44" t="s">
        <v>470</v>
      </c>
      <c r="E22" s="44" t="s">
        <v>227</v>
      </c>
      <c r="F22" s="44" t="s">
        <v>221</v>
      </c>
      <c r="G22" s="9">
        <f>'05_Raw_Annual_Performance'!E10</f>
        <v>25651</v>
      </c>
      <c r="H22" s="62" t="s">
        <v>471</v>
      </c>
      <c r="I22" s="62" t="s">
        <v>489</v>
      </c>
    </row>
    <row r="23" spans="1:9">
      <c r="A23" s="44" t="s">
        <v>469</v>
      </c>
      <c r="B23" s="44" t="s">
        <v>219</v>
      </c>
      <c r="C23" s="44">
        <v>1</v>
      </c>
      <c r="D23" s="44" t="s">
        <v>470</v>
      </c>
      <c r="E23" s="44" t="s">
        <v>228</v>
      </c>
      <c r="F23" s="44" t="s">
        <v>221</v>
      </c>
      <c r="G23" s="9">
        <f>'05_Raw_Annual_Performance'!C11</f>
        <v>3571</v>
      </c>
      <c r="H23" s="62" t="s">
        <v>471</v>
      </c>
      <c r="I23" s="62" t="s">
        <v>490</v>
      </c>
    </row>
    <row r="24" spans="1:9">
      <c r="A24" s="44" t="s">
        <v>469</v>
      </c>
      <c r="B24" s="44" t="s">
        <v>220</v>
      </c>
      <c r="C24" s="44">
        <v>2</v>
      </c>
      <c r="D24" s="44" t="s">
        <v>470</v>
      </c>
      <c r="E24" s="44" t="s">
        <v>228</v>
      </c>
      <c r="F24" s="44" t="s">
        <v>221</v>
      </c>
      <c r="G24" s="9">
        <f>'05_Raw_Annual_Performance'!D11</f>
        <v>3622</v>
      </c>
      <c r="H24" s="62" t="s">
        <v>471</v>
      </c>
      <c r="I24" s="62" t="s">
        <v>491</v>
      </c>
    </row>
    <row r="25" spans="1:9">
      <c r="A25" s="44" t="s">
        <v>469</v>
      </c>
      <c r="B25" s="44" t="s">
        <v>105</v>
      </c>
      <c r="C25" s="44">
        <v>3</v>
      </c>
      <c r="D25" s="44" t="s">
        <v>470</v>
      </c>
      <c r="E25" s="44" t="s">
        <v>228</v>
      </c>
      <c r="F25" s="44" t="s">
        <v>221</v>
      </c>
      <c r="G25" s="9">
        <f>'05_Raw_Annual_Performance'!E11</f>
        <v>5282</v>
      </c>
      <c r="H25" s="62" t="s">
        <v>471</v>
      </c>
      <c r="I25" s="62" t="s">
        <v>492</v>
      </c>
    </row>
    <row r="26" spans="1:9">
      <c r="A26" s="44" t="s">
        <v>469</v>
      </c>
      <c r="B26" s="44" t="s">
        <v>219</v>
      </c>
      <c r="C26" s="44">
        <v>1</v>
      </c>
      <c r="D26" s="44" t="s">
        <v>470</v>
      </c>
      <c r="E26" s="44" t="s">
        <v>229</v>
      </c>
      <c r="F26" s="44" t="s">
        <v>221</v>
      </c>
      <c r="G26" s="9">
        <f>'05_Raw_Annual_Performance'!C12</f>
        <v>14612</v>
      </c>
      <c r="H26" s="62" t="s">
        <v>471</v>
      </c>
      <c r="I26" s="62" t="s">
        <v>493</v>
      </c>
    </row>
    <row r="27" spans="1:9">
      <c r="A27" s="44" t="s">
        <v>469</v>
      </c>
      <c r="B27" s="44" t="s">
        <v>220</v>
      </c>
      <c r="C27" s="44">
        <v>2</v>
      </c>
      <c r="D27" s="44" t="s">
        <v>470</v>
      </c>
      <c r="E27" s="44" t="s">
        <v>229</v>
      </c>
      <c r="F27" s="44" t="s">
        <v>221</v>
      </c>
      <c r="G27" s="9">
        <f>'05_Raw_Annual_Performance'!D12</f>
        <v>16240</v>
      </c>
      <c r="H27" s="62" t="s">
        <v>471</v>
      </c>
      <c r="I27" s="62" t="s">
        <v>494</v>
      </c>
    </row>
    <row r="28" spans="1:9">
      <c r="A28" s="44" t="s">
        <v>469</v>
      </c>
      <c r="B28" s="44" t="s">
        <v>105</v>
      </c>
      <c r="C28" s="44">
        <v>3</v>
      </c>
      <c r="D28" s="44" t="s">
        <v>470</v>
      </c>
      <c r="E28" s="44" t="s">
        <v>229</v>
      </c>
      <c r="F28" s="44" t="s">
        <v>221</v>
      </c>
      <c r="G28" s="9">
        <f>'05_Raw_Annual_Performance'!E12</f>
        <v>20369</v>
      </c>
      <c r="H28" s="62" t="s">
        <v>471</v>
      </c>
      <c r="I28" s="62" t="s">
        <v>495</v>
      </c>
    </row>
    <row r="29" spans="1:9">
      <c r="A29" s="44" t="s">
        <v>469</v>
      </c>
      <c r="B29" s="44" t="s">
        <v>219</v>
      </c>
      <c r="C29" s="44">
        <v>1</v>
      </c>
      <c r="D29" s="44" t="s">
        <v>470</v>
      </c>
      <c r="E29" s="44" t="s">
        <v>230</v>
      </c>
      <c r="F29" s="44" t="s">
        <v>221</v>
      </c>
      <c r="G29" s="9">
        <f>'05_Raw_Annual_Performance'!C13</f>
        <v>14369</v>
      </c>
      <c r="H29" s="62" t="s">
        <v>471</v>
      </c>
      <c r="I29" s="62" t="s">
        <v>496</v>
      </c>
    </row>
    <row r="30" spans="1:9">
      <c r="A30" s="44" t="s">
        <v>469</v>
      </c>
      <c r="B30" s="44" t="s">
        <v>220</v>
      </c>
      <c r="C30" s="44">
        <v>2</v>
      </c>
      <c r="D30" s="44" t="s">
        <v>470</v>
      </c>
      <c r="E30" s="44" t="s">
        <v>230</v>
      </c>
      <c r="F30" s="44" t="s">
        <v>221</v>
      </c>
      <c r="G30" s="9">
        <f>'05_Raw_Annual_Performance'!D13</f>
        <v>15908</v>
      </c>
      <c r="H30" s="62" t="s">
        <v>471</v>
      </c>
      <c r="I30" s="62" t="s">
        <v>497</v>
      </c>
    </row>
    <row r="31" spans="1:9">
      <c r="A31" s="44" t="s">
        <v>469</v>
      </c>
      <c r="B31" s="44" t="s">
        <v>105</v>
      </c>
      <c r="C31" s="44">
        <v>3</v>
      </c>
      <c r="D31" s="44" t="s">
        <v>470</v>
      </c>
      <c r="E31" s="44" t="s">
        <v>230</v>
      </c>
      <c r="F31" s="44" t="s">
        <v>221</v>
      </c>
      <c r="G31" s="9">
        <f>'05_Raw_Annual_Performance'!E13</f>
        <v>19868</v>
      </c>
      <c r="H31" s="62" t="s">
        <v>471</v>
      </c>
      <c r="I31" s="62" t="s">
        <v>498</v>
      </c>
    </row>
    <row r="32" spans="1:9">
      <c r="A32" s="44" t="s">
        <v>469</v>
      </c>
      <c r="B32" s="44" t="s">
        <v>219</v>
      </c>
      <c r="C32" s="44">
        <v>1</v>
      </c>
      <c r="D32" s="44" t="s">
        <v>470</v>
      </c>
      <c r="E32" s="44" t="s">
        <v>231</v>
      </c>
      <c r="F32" s="44" t="s">
        <v>232</v>
      </c>
      <c r="G32" s="13">
        <f>'05_Raw_Annual_Performance'!C14</f>
        <v>10.32</v>
      </c>
      <c r="H32" s="62" t="s">
        <v>471</v>
      </c>
      <c r="I32" s="62" t="s">
        <v>499</v>
      </c>
    </row>
    <row r="33" spans="1:9">
      <c r="A33" s="44" t="s">
        <v>469</v>
      </c>
      <c r="B33" s="44" t="s">
        <v>220</v>
      </c>
      <c r="C33" s="44">
        <v>2</v>
      </c>
      <c r="D33" s="44" t="s">
        <v>470</v>
      </c>
      <c r="E33" s="44" t="s">
        <v>231</v>
      </c>
      <c r="F33" s="44" t="s">
        <v>232</v>
      </c>
      <c r="G33" s="13">
        <f>'05_Raw_Annual_Performance'!D14</f>
        <v>11.25</v>
      </c>
      <c r="H33" s="62" t="s">
        <v>471</v>
      </c>
      <c r="I33" s="62" t="s">
        <v>500</v>
      </c>
    </row>
    <row r="34" spans="1:9">
      <c r="A34" s="44" t="s">
        <v>469</v>
      </c>
      <c r="B34" s="44" t="s">
        <v>105</v>
      </c>
      <c r="C34" s="44">
        <v>3</v>
      </c>
      <c r="D34" s="44" t="s">
        <v>470</v>
      </c>
      <c r="E34" s="44" t="s">
        <v>231</v>
      </c>
      <c r="F34" s="44" t="s">
        <v>232</v>
      </c>
      <c r="G34" s="13">
        <f>'05_Raw_Annual_Performance'!E14</f>
        <v>14.07</v>
      </c>
      <c r="H34" s="62" t="s">
        <v>471</v>
      </c>
      <c r="I34" s="62" t="s">
        <v>501</v>
      </c>
    </row>
    <row r="35" spans="1:9">
      <c r="A35" s="44" t="s">
        <v>469</v>
      </c>
      <c r="B35" s="44" t="s">
        <v>219</v>
      </c>
      <c r="C35" s="44">
        <v>1</v>
      </c>
      <c r="D35" s="44" t="s">
        <v>470</v>
      </c>
      <c r="E35" s="44" t="s">
        <v>183</v>
      </c>
      <c r="F35" s="44" t="s">
        <v>235</v>
      </c>
      <c r="G35" s="15">
        <f>'05_Raw_Annual_Performance'!C15</f>
        <v>0.14299999999999999</v>
      </c>
      <c r="H35" s="62" t="s">
        <v>471</v>
      </c>
      <c r="I35" s="62" t="s">
        <v>502</v>
      </c>
    </row>
    <row r="36" spans="1:9">
      <c r="A36" s="44" t="s">
        <v>469</v>
      </c>
      <c r="B36" s="44" t="s">
        <v>220</v>
      </c>
      <c r="C36" s="44">
        <v>2</v>
      </c>
      <c r="D36" s="44" t="s">
        <v>470</v>
      </c>
      <c r="E36" s="44" t="s">
        <v>183</v>
      </c>
      <c r="F36" s="44" t="s">
        <v>235</v>
      </c>
      <c r="G36" s="15">
        <f>'05_Raw_Annual_Performance'!D15</f>
        <v>0.14399999999999999</v>
      </c>
      <c r="H36" s="62" t="s">
        <v>471</v>
      </c>
      <c r="I36" s="62" t="s">
        <v>503</v>
      </c>
    </row>
    <row r="37" spans="1:9">
      <c r="A37" s="44" t="s">
        <v>469</v>
      </c>
      <c r="B37" s="44" t="s">
        <v>105</v>
      </c>
      <c r="C37" s="44">
        <v>3</v>
      </c>
      <c r="D37" s="44" t="s">
        <v>470</v>
      </c>
      <c r="E37" s="44" t="s">
        <v>183</v>
      </c>
      <c r="F37" s="44" t="s">
        <v>235</v>
      </c>
      <c r="G37" s="15">
        <f>'05_Raw_Annual_Performance'!E15</f>
        <v>0.16300000000000001</v>
      </c>
      <c r="H37" s="62" t="s">
        <v>471</v>
      </c>
      <c r="I37" s="62" t="s">
        <v>504</v>
      </c>
    </row>
    <row r="38" spans="1:9">
      <c r="A38" s="44" t="s">
        <v>469</v>
      </c>
      <c r="B38" s="44" t="s">
        <v>219</v>
      </c>
      <c r="C38" s="44">
        <v>1</v>
      </c>
      <c r="D38" s="44" t="s">
        <v>470</v>
      </c>
      <c r="E38" s="44" t="s">
        <v>186</v>
      </c>
      <c r="F38" s="44" t="s">
        <v>235</v>
      </c>
      <c r="G38" s="15">
        <f>'05_Raw_Annual_Performance'!C16</f>
        <v>0.59899999999999998</v>
      </c>
      <c r="H38" s="62" t="s">
        <v>471</v>
      </c>
      <c r="I38" s="62" t="s">
        <v>505</v>
      </c>
    </row>
    <row r="39" spans="1:9">
      <c r="A39" s="44" t="s">
        <v>469</v>
      </c>
      <c r="B39" s="44" t="s">
        <v>220</v>
      </c>
      <c r="C39" s="44">
        <v>2</v>
      </c>
      <c r="D39" s="44" t="s">
        <v>470</v>
      </c>
      <c r="E39" s="44" t="s">
        <v>186</v>
      </c>
      <c r="F39" s="44" t="s">
        <v>235</v>
      </c>
      <c r="G39" s="15">
        <f>'05_Raw_Annual_Performance'!D16</f>
        <v>0.59699999999999998</v>
      </c>
      <c r="H39" s="62" t="s">
        <v>471</v>
      </c>
      <c r="I39" s="62" t="s">
        <v>506</v>
      </c>
    </row>
    <row r="40" spans="1:9">
      <c r="A40" s="44" t="s">
        <v>469</v>
      </c>
      <c r="B40" s="44" t="s">
        <v>105</v>
      </c>
      <c r="C40" s="44">
        <v>3</v>
      </c>
      <c r="D40" s="44" t="s">
        <v>470</v>
      </c>
      <c r="E40" s="44" t="s">
        <v>186</v>
      </c>
      <c r="F40" s="44" t="s">
        <v>235</v>
      </c>
      <c r="G40" s="15">
        <f>'05_Raw_Annual_Performance'!E16</f>
        <v>0.54900000000000004</v>
      </c>
      <c r="H40" s="62" t="s">
        <v>471</v>
      </c>
      <c r="I40" s="62" t="s">
        <v>507</v>
      </c>
    </row>
    <row r="41" spans="1:9">
      <c r="A41" s="44" t="s">
        <v>469</v>
      </c>
      <c r="B41" s="44" t="s">
        <v>219</v>
      </c>
      <c r="C41" s="44">
        <v>1</v>
      </c>
      <c r="D41" s="44" t="s">
        <v>470</v>
      </c>
      <c r="E41" s="44" t="s">
        <v>189</v>
      </c>
      <c r="F41" s="44" t="s">
        <v>235</v>
      </c>
      <c r="G41" s="15">
        <f>'05_Raw_Annual_Performance'!C17</f>
        <v>-0.107</v>
      </c>
      <c r="H41" s="62" t="s">
        <v>471</v>
      </c>
      <c r="I41" s="62" t="s">
        <v>508</v>
      </c>
    </row>
    <row r="42" spans="1:9">
      <c r="A42" s="44" t="s">
        <v>469</v>
      </c>
      <c r="B42" s="44" t="s">
        <v>220</v>
      </c>
      <c r="C42" s="44">
        <v>2</v>
      </c>
      <c r="D42" s="44" t="s">
        <v>470</v>
      </c>
      <c r="E42" s="44" t="s">
        <v>189</v>
      </c>
      <c r="F42" s="44" t="s">
        <v>235</v>
      </c>
      <c r="G42" s="15">
        <f>'05_Raw_Annual_Performance'!D17</f>
        <v>2E-3</v>
      </c>
      <c r="H42" s="62" t="s">
        <v>471</v>
      </c>
      <c r="I42" s="62" t="s">
        <v>509</v>
      </c>
    </row>
    <row r="43" spans="1:9">
      <c r="A43" s="44" t="s">
        <v>469</v>
      </c>
      <c r="B43" s="44" t="s">
        <v>105</v>
      </c>
      <c r="C43" s="44">
        <v>3</v>
      </c>
      <c r="D43" s="44" t="s">
        <v>470</v>
      </c>
      <c r="E43" s="44" t="s">
        <v>189</v>
      </c>
      <c r="F43" s="44" t="s">
        <v>235</v>
      </c>
      <c r="G43" s="15">
        <f>'05_Raw_Annual_Performance'!E17</f>
        <v>9.2999999999999999E-2</v>
      </c>
      <c r="H43" s="62" t="s">
        <v>471</v>
      </c>
      <c r="I43" s="62" t="s">
        <v>510</v>
      </c>
    </row>
    <row r="44" spans="1:9">
      <c r="A44" s="44" t="s">
        <v>469</v>
      </c>
      <c r="B44" s="44" t="s">
        <v>219</v>
      </c>
      <c r="C44" s="44">
        <v>1</v>
      </c>
      <c r="D44" s="44" t="s">
        <v>470</v>
      </c>
      <c r="E44" s="44" t="s">
        <v>237</v>
      </c>
      <c r="F44" s="44" t="s">
        <v>221</v>
      </c>
      <c r="G44" s="9">
        <f>'05_Raw_Annual_Performance'!C18</f>
        <v>20651</v>
      </c>
      <c r="H44" s="62" t="s">
        <v>471</v>
      </c>
      <c r="I44" s="62" t="s">
        <v>511</v>
      </c>
    </row>
    <row r="45" spans="1:9">
      <c r="A45" s="44" t="s">
        <v>469</v>
      </c>
      <c r="B45" s="44" t="s">
        <v>220</v>
      </c>
      <c r="C45" s="44">
        <v>2</v>
      </c>
      <c r="D45" s="44" t="s">
        <v>470</v>
      </c>
      <c r="E45" s="44" t="s">
        <v>237</v>
      </c>
      <c r="F45" s="44" t="s">
        <v>221</v>
      </c>
      <c r="G45" s="9">
        <f>'05_Raw_Annual_Performance'!D18</f>
        <v>23094</v>
      </c>
      <c r="H45" s="62" t="s">
        <v>471</v>
      </c>
      <c r="I45" s="62" t="s">
        <v>512</v>
      </c>
    </row>
    <row r="46" spans="1:9">
      <c r="A46" s="44" t="s">
        <v>469</v>
      </c>
      <c r="B46" s="44" t="s">
        <v>105</v>
      </c>
      <c r="C46" s="44">
        <v>3</v>
      </c>
      <c r="D46" s="44" t="s">
        <v>470</v>
      </c>
      <c r="E46" s="44" t="s">
        <v>237</v>
      </c>
      <c r="F46" s="44" t="s">
        <v>221</v>
      </c>
      <c r="G46" s="9">
        <f>'05_Raw_Annual_Performance'!E18</f>
        <v>30013</v>
      </c>
      <c r="H46" s="62" t="s">
        <v>471</v>
      </c>
      <c r="I46" s="62" t="s">
        <v>513</v>
      </c>
    </row>
    <row r="47" spans="1:9">
      <c r="A47" s="44" t="s">
        <v>469</v>
      </c>
      <c r="B47" s="44" t="s">
        <v>219</v>
      </c>
      <c r="C47" s="44">
        <v>1</v>
      </c>
      <c r="D47" s="44" t="s">
        <v>470</v>
      </c>
      <c r="E47" s="44" t="s">
        <v>241</v>
      </c>
      <c r="F47" s="44" t="s">
        <v>235</v>
      </c>
      <c r="G47" s="15">
        <f>'05_Raw_Annual_Performance'!C19</f>
        <v>0.19639223450475718</v>
      </c>
      <c r="H47" s="62" t="s">
        <v>471</v>
      </c>
      <c r="I47" s="62" t="s">
        <v>514</v>
      </c>
    </row>
    <row r="48" spans="1:9">
      <c r="A48" s="44" t="s">
        <v>469</v>
      </c>
      <c r="B48" s="44" t="s">
        <v>220</v>
      </c>
      <c r="C48" s="44">
        <v>2</v>
      </c>
      <c r="D48" s="44" t="s">
        <v>470</v>
      </c>
      <c r="E48" s="44" t="s">
        <v>241</v>
      </c>
      <c r="F48" s="44" t="s">
        <v>235</v>
      </c>
      <c r="G48" s="15">
        <f>'05_Raw_Annual_Performance'!D19</f>
        <v>0.1823582720773336</v>
      </c>
      <c r="H48" s="62" t="s">
        <v>471</v>
      </c>
      <c r="I48" s="62" t="s">
        <v>515</v>
      </c>
    </row>
    <row r="49" spans="1:9">
      <c r="A49" s="44" t="s">
        <v>469</v>
      </c>
      <c r="B49" s="44" t="s">
        <v>105</v>
      </c>
      <c r="C49" s="44">
        <v>3</v>
      </c>
      <c r="D49" s="44" t="s">
        <v>470</v>
      </c>
      <c r="E49" s="44" t="s">
        <v>241</v>
      </c>
      <c r="F49" s="44" t="s">
        <v>235</v>
      </c>
      <c r="G49" s="15">
        <f>'05_Raw_Annual_Performance'!E19</f>
        <v>0.20591789793770224</v>
      </c>
      <c r="H49" s="62" t="s">
        <v>471</v>
      </c>
      <c r="I49" s="62" t="s">
        <v>516</v>
      </c>
    </row>
    <row r="50" spans="1:9">
      <c r="A50" s="44" t="s">
        <v>517</v>
      </c>
      <c r="B50" s="44" t="s">
        <v>244</v>
      </c>
      <c r="C50" s="44">
        <v>1</v>
      </c>
      <c r="D50" s="44" t="s">
        <v>470</v>
      </c>
      <c r="E50" s="44" t="s">
        <v>150</v>
      </c>
      <c r="F50" s="44" t="s">
        <v>221</v>
      </c>
      <c r="G50" s="9">
        <f>'06_Raw_Quarterly_Performance'!C5</f>
        <v>6332</v>
      </c>
      <c r="H50" s="62" t="s">
        <v>518</v>
      </c>
      <c r="I50" s="62" t="s">
        <v>472</v>
      </c>
    </row>
    <row r="51" spans="1:9">
      <c r="A51" s="44" t="s">
        <v>517</v>
      </c>
      <c r="B51" s="44" t="s">
        <v>245</v>
      </c>
      <c r="C51" s="44">
        <v>2</v>
      </c>
      <c r="D51" s="44" t="s">
        <v>470</v>
      </c>
      <c r="E51" s="44" t="s">
        <v>150</v>
      </c>
      <c r="F51" s="44" t="s">
        <v>221</v>
      </c>
      <c r="G51" s="9">
        <f>'06_Raw_Quarterly_Performance'!D5</f>
        <v>6623</v>
      </c>
      <c r="H51" s="62" t="s">
        <v>518</v>
      </c>
      <c r="I51" s="62" t="s">
        <v>473</v>
      </c>
    </row>
    <row r="52" spans="1:9">
      <c r="A52" s="44" t="s">
        <v>517</v>
      </c>
      <c r="B52" s="44" t="s">
        <v>246</v>
      </c>
      <c r="C52" s="44">
        <v>3</v>
      </c>
      <c r="D52" s="44" t="s">
        <v>470</v>
      </c>
      <c r="E52" s="44" t="s">
        <v>150</v>
      </c>
      <c r="F52" s="44" t="s">
        <v>221</v>
      </c>
      <c r="G52" s="9">
        <f>'06_Raw_Quarterly_Performance'!E5</f>
        <v>7327</v>
      </c>
      <c r="H52" s="62" t="s">
        <v>518</v>
      </c>
      <c r="I52" s="62" t="s">
        <v>474</v>
      </c>
    </row>
    <row r="53" spans="1:9">
      <c r="A53" s="44" t="s">
        <v>517</v>
      </c>
      <c r="B53" s="44" t="s">
        <v>247</v>
      </c>
      <c r="C53" s="44">
        <v>4</v>
      </c>
      <c r="D53" s="44" t="s">
        <v>470</v>
      </c>
      <c r="E53" s="44" t="s">
        <v>150</v>
      </c>
      <c r="F53" s="44" t="s">
        <v>221</v>
      </c>
      <c r="G53" s="9">
        <f>'06_Raw_Quarterly_Performance'!F5</f>
        <v>7671</v>
      </c>
      <c r="H53" s="62" t="s">
        <v>518</v>
      </c>
      <c r="I53" s="62" t="s">
        <v>519</v>
      </c>
    </row>
    <row r="54" spans="1:9">
      <c r="A54" s="44" t="s">
        <v>517</v>
      </c>
      <c r="B54" s="44" t="s">
        <v>248</v>
      </c>
      <c r="C54" s="44">
        <v>5</v>
      </c>
      <c r="D54" s="44" t="s">
        <v>470</v>
      </c>
      <c r="E54" s="44" t="s">
        <v>150</v>
      </c>
      <c r="F54" s="44" t="s">
        <v>221</v>
      </c>
      <c r="G54" s="9">
        <f>'06_Raw_Quarterly_Performance'!G5</f>
        <v>7948</v>
      </c>
      <c r="H54" s="62" t="s">
        <v>518</v>
      </c>
      <c r="I54" s="62" t="s">
        <v>520</v>
      </c>
    </row>
    <row r="55" spans="1:9">
      <c r="A55" s="44" t="s">
        <v>517</v>
      </c>
      <c r="B55" s="44" t="s">
        <v>249</v>
      </c>
      <c r="C55" s="44">
        <v>6</v>
      </c>
      <c r="D55" s="44" t="s">
        <v>470</v>
      </c>
      <c r="E55" s="44" t="s">
        <v>150</v>
      </c>
      <c r="F55" s="44" t="s">
        <v>221</v>
      </c>
      <c r="G55" s="9">
        <f>'06_Raw_Quarterly_Performance'!H5</f>
        <v>8056</v>
      </c>
      <c r="H55" s="62" t="s">
        <v>518</v>
      </c>
      <c r="I55" s="62" t="s">
        <v>521</v>
      </c>
    </row>
    <row r="56" spans="1:9">
      <c r="A56" s="44" t="s">
        <v>517</v>
      </c>
      <c r="B56" s="44" t="s">
        <v>250</v>
      </c>
      <c r="C56" s="44">
        <v>7</v>
      </c>
      <c r="D56" s="44" t="s">
        <v>470</v>
      </c>
      <c r="E56" s="44" t="s">
        <v>150</v>
      </c>
      <c r="F56" s="44" t="s">
        <v>221</v>
      </c>
      <c r="G56" s="9">
        <f>'06_Raw_Quarterly_Performance'!I5</f>
        <v>8351</v>
      </c>
      <c r="H56" s="62" t="s">
        <v>518</v>
      </c>
      <c r="I56" s="62" t="s">
        <v>522</v>
      </c>
    </row>
    <row r="57" spans="1:9">
      <c r="A57" s="44" t="s">
        <v>517</v>
      </c>
      <c r="B57" s="44" t="s">
        <v>251</v>
      </c>
      <c r="C57" s="44">
        <v>8</v>
      </c>
      <c r="D57" s="44" t="s">
        <v>470</v>
      </c>
      <c r="E57" s="44" t="s">
        <v>150</v>
      </c>
      <c r="F57" s="44" t="s">
        <v>221</v>
      </c>
      <c r="G57" s="9">
        <f>'06_Raw_Quarterly_Performance'!J5</f>
        <v>8645</v>
      </c>
      <c r="H57" s="62" t="s">
        <v>518</v>
      </c>
      <c r="I57" s="62" t="s">
        <v>523</v>
      </c>
    </row>
    <row r="58" spans="1:9">
      <c r="A58" s="44" t="s">
        <v>517</v>
      </c>
      <c r="B58" s="44" t="s">
        <v>252</v>
      </c>
      <c r="C58" s="44">
        <v>9</v>
      </c>
      <c r="D58" s="44" t="s">
        <v>470</v>
      </c>
      <c r="E58" s="44" t="s">
        <v>150</v>
      </c>
      <c r="F58" s="44" t="s">
        <v>221</v>
      </c>
      <c r="G58" s="9">
        <f>'06_Raw_Quarterly_Performance'!K5</f>
        <v>8585</v>
      </c>
      <c r="H58" s="62" t="s">
        <v>518</v>
      </c>
      <c r="I58" s="62" t="s">
        <v>524</v>
      </c>
    </row>
    <row r="59" spans="1:9">
      <c r="A59" s="44" t="s">
        <v>517</v>
      </c>
      <c r="B59" s="44" t="s">
        <v>123</v>
      </c>
      <c r="C59" s="44">
        <v>10</v>
      </c>
      <c r="D59" s="44" t="s">
        <v>470</v>
      </c>
      <c r="E59" s="44" t="s">
        <v>150</v>
      </c>
      <c r="F59" s="44" t="s">
        <v>221</v>
      </c>
      <c r="G59" s="9">
        <f>'06_Raw_Quarterly_Performance'!L5</f>
        <v>8506</v>
      </c>
      <c r="H59" s="62" t="s">
        <v>518</v>
      </c>
      <c r="I59" s="62" t="s">
        <v>525</v>
      </c>
    </row>
    <row r="60" spans="1:9">
      <c r="A60" s="44" t="s">
        <v>517</v>
      </c>
      <c r="B60" s="44" t="s">
        <v>244</v>
      </c>
      <c r="C60" s="44">
        <v>1</v>
      </c>
      <c r="D60" s="44" t="s">
        <v>470</v>
      </c>
      <c r="E60" s="44" t="s">
        <v>155</v>
      </c>
      <c r="F60" s="44" t="s">
        <v>221</v>
      </c>
      <c r="G60" s="9">
        <f>'06_Raw_Quarterly_Performance'!C6</f>
        <v>7153</v>
      </c>
      <c r="H60" s="62" t="s">
        <v>518</v>
      </c>
      <c r="I60" s="62" t="s">
        <v>475</v>
      </c>
    </row>
    <row r="61" spans="1:9">
      <c r="A61" s="44" t="s">
        <v>517</v>
      </c>
      <c r="B61" s="44" t="s">
        <v>245</v>
      </c>
      <c r="C61" s="44">
        <v>2</v>
      </c>
      <c r="D61" s="44" t="s">
        <v>470</v>
      </c>
      <c r="E61" s="44" t="s">
        <v>155</v>
      </c>
      <c r="F61" s="44" t="s">
        <v>221</v>
      </c>
      <c r="G61" s="9">
        <f>'06_Raw_Quarterly_Performance'!D6</f>
        <v>7531</v>
      </c>
      <c r="H61" s="62" t="s">
        <v>518</v>
      </c>
      <c r="I61" s="62" t="s">
        <v>476</v>
      </c>
    </row>
    <row r="62" spans="1:9">
      <c r="A62" s="44" t="s">
        <v>517</v>
      </c>
      <c r="B62" s="44" t="s">
        <v>246</v>
      </c>
      <c r="C62" s="44">
        <v>3</v>
      </c>
      <c r="D62" s="44" t="s">
        <v>470</v>
      </c>
      <c r="E62" s="44" t="s">
        <v>155</v>
      </c>
      <c r="F62" s="44" t="s">
        <v>221</v>
      </c>
      <c r="G62" s="9">
        <f>'06_Raw_Quarterly_Performance'!E6</f>
        <v>7304</v>
      </c>
      <c r="H62" s="62" t="s">
        <v>518</v>
      </c>
      <c r="I62" s="62" t="s">
        <v>477</v>
      </c>
    </row>
    <row r="63" spans="1:9">
      <c r="A63" s="44" t="s">
        <v>517</v>
      </c>
      <c r="B63" s="44" t="s">
        <v>247</v>
      </c>
      <c r="C63" s="44">
        <v>4</v>
      </c>
      <c r="D63" s="44" t="s">
        <v>470</v>
      </c>
      <c r="E63" s="44" t="s">
        <v>155</v>
      </c>
      <c r="F63" s="44" t="s">
        <v>221</v>
      </c>
      <c r="G63" s="9">
        <f>'06_Raw_Quarterly_Performance'!F6</f>
        <v>7403</v>
      </c>
      <c r="H63" s="62" t="s">
        <v>518</v>
      </c>
      <c r="I63" s="62" t="s">
        <v>526</v>
      </c>
    </row>
    <row r="64" spans="1:9">
      <c r="A64" s="44" t="s">
        <v>517</v>
      </c>
      <c r="B64" s="44" t="s">
        <v>248</v>
      </c>
      <c r="C64" s="44">
        <v>5</v>
      </c>
      <c r="D64" s="44" t="s">
        <v>470</v>
      </c>
      <c r="E64" s="44" t="s">
        <v>155</v>
      </c>
      <c r="F64" s="44" t="s">
        <v>221</v>
      </c>
      <c r="G64" s="9">
        <f>'06_Raw_Quarterly_Performance'!G6</f>
        <v>8791</v>
      </c>
      <c r="H64" s="62" t="s">
        <v>518</v>
      </c>
      <c r="I64" s="62" t="s">
        <v>527</v>
      </c>
    </row>
    <row r="65" spans="1:9">
      <c r="A65" s="44" t="s">
        <v>517</v>
      </c>
      <c r="B65" s="44" t="s">
        <v>249</v>
      </c>
      <c r="C65" s="44">
        <v>6</v>
      </c>
      <c r="D65" s="44" t="s">
        <v>470</v>
      </c>
      <c r="E65" s="44" t="s">
        <v>155</v>
      </c>
      <c r="F65" s="44" t="s">
        <v>221</v>
      </c>
      <c r="G65" s="9">
        <f>'06_Raw_Quarterly_Performance'!H6</f>
        <v>7616</v>
      </c>
      <c r="H65" s="62" t="s">
        <v>518</v>
      </c>
      <c r="I65" s="62" t="s">
        <v>528</v>
      </c>
    </row>
    <row r="66" spans="1:9">
      <c r="A66" s="44" t="s">
        <v>517</v>
      </c>
      <c r="B66" s="44" t="s">
        <v>250</v>
      </c>
      <c r="C66" s="44">
        <v>7</v>
      </c>
      <c r="D66" s="44" t="s">
        <v>470</v>
      </c>
      <c r="E66" s="44" t="s">
        <v>155</v>
      </c>
      <c r="F66" s="44" t="s">
        <v>221</v>
      </c>
      <c r="G66" s="9">
        <f>'06_Raw_Quarterly_Performance'!I6</f>
        <v>8634</v>
      </c>
      <c r="H66" s="62" t="s">
        <v>518</v>
      </c>
      <c r="I66" s="62" t="s">
        <v>529</v>
      </c>
    </row>
    <row r="67" spans="1:9">
      <c r="A67" s="44" t="s">
        <v>517</v>
      </c>
      <c r="B67" s="44" t="s">
        <v>251</v>
      </c>
      <c r="C67" s="44">
        <v>8</v>
      </c>
      <c r="D67" s="44" t="s">
        <v>470</v>
      </c>
      <c r="E67" s="44" t="s">
        <v>155</v>
      </c>
      <c r="F67" s="44" t="s">
        <v>221</v>
      </c>
      <c r="G67" s="9">
        <f>'06_Raw_Quarterly_Performance'!J6</f>
        <v>8564</v>
      </c>
      <c r="H67" s="62" t="s">
        <v>518</v>
      </c>
      <c r="I67" s="62" t="s">
        <v>530</v>
      </c>
    </row>
    <row r="68" spans="1:9">
      <c r="A68" s="44" t="s">
        <v>517</v>
      </c>
      <c r="B68" s="44" t="s">
        <v>252</v>
      </c>
      <c r="C68" s="44">
        <v>9</v>
      </c>
      <c r="D68" s="44" t="s">
        <v>470</v>
      </c>
      <c r="E68" s="44" t="s">
        <v>155</v>
      </c>
      <c r="F68" s="44" t="s">
        <v>221</v>
      </c>
      <c r="G68" s="9">
        <f>'06_Raw_Quarterly_Performance'!K6</f>
        <v>9375</v>
      </c>
      <c r="H68" s="62" t="s">
        <v>518</v>
      </c>
      <c r="I68" s="62" t="s">
        <v>531</v>
      </c>
    </row>
    <row r="69" spans="1:9">
      <c r="A69" s="44" t="s">
        <v>517</v>
      </c>
      <c r="B69" s="44" t="s">
        <v>123</v>
      </c>
      <c r="C69" s="44">
        <v>10</v>
      </c>
      <c r="D69" s="44" t="s">
        <v>470</v>
      </c>
      <c r="E69" s="44" t="s">
        <v>155</v>
      </c>
      <c r="F69" s="44" t="s">
        <v>221</v>
      </c>
      <c r="G69" s="9">
        <f>'06_Raw_Quarterly_Performance'!L6</f>
        <v>8947</v>
      </c>
      <c r="H69" s="62" t="s">
        <v>518</v>
      </c>
      <c r="I69" s="62" t="s">
        <v>532</v>
      </c>
    </row>
    <row r="70" spans="1:9">
      <c r="A70" s="44" t="s">
        <v>517</v>
      </c>
      <c r="B70" s="44" t="s">
        <v>244</v>
      </c>
      <c r="C70" s="44">
        <v>1</v>
      </c>
      <c r="D70" s="44" t="s">
        <v>470</v>
      </c>
      <c r="E70" s="44" t="s">
        <v>225</v>
      </c>
      <c r="F70" s="44" t="s">
        <v>221</v>
      </c>
      <c r="G70" s="9">
        <f>'06_Raw_Quarterly_Performance'!C7</f>
        <v>13485</v>
      </c>
      <c r="H70" s="62" t="s">
        <v>518</v>
      </c>
      <c r="I70" s="62" t="s">
        <v>478</v>
      </c>
    </row>
    <row r="71" spans="1:9">
      <c r="A71" s="44" t="s">
        <v>517</v>
      </c>
      <c r="B71" s="44" t="s">
        <v>245</v>
      </c>
      <c r="C71" s="44">
        <v>2</v>
      </c>
      <c r="D71" s="44" t="s">
        <v>470</v>
      </c>
      <c r="E71" s="44" t="s">
        <v>225</v>
      </c>
      <c r="F71" s="44" t="s">
        <v>221</v>
      </c>
      <c r="G71" s="9">
        <f>'06_Raw_Quarterly_Performance'!D7</f>
        <v>14154</v>
      </c>
      <c r="H71" s="62" t="s">
        <v>518</v>
      </c>
      <c r="I71" s="62" t="s">
        <v>479</v>
      </c>
    </row>
    <row r="72" spans="1:9">
      <c r="A72" s="44" t="s">
        <v>517</v>
      </c>
      <c r="B72" s="44" t="s">
        <v>246</v>
      </c>
      <c r="C72" s="44">
        <v>3</v>
      </c>
      <c r="D72" s="44" t="s">
        <v>470</v>
      </c>
      <c r="E72" s="44" t="s">
        <v>225</v>
      </c>
      <c r="F72" s="44" t="s">
        <v>221</v>
      </c>
      <c r="G72" s="9">
        <f>'06_Raw_Quarterly_Performance'!E7</f>
        <v>14631</v>
      </c>
      <c r="H72" s="62" t="s">
        <v>518</v>
      </c>
      <c r="I72" s="62" t="s">
        <v>480</v>
      </c>
    </row>
    <row r="73" spans="1:9">
      <c r="A73" s="44" t="s">
        <v>517</v>
      </c>
      <c r="B73" s="44" t="s">
        <v>247</v>
      </c>
      <c r="C73" s="44">
        <v>4</v>
      </c>
      <c r="D73" s="44" t="s">
        <v>470</v>
      </c>
      <c r="E73" s="44" t="s">
        <v>225</v>
      </c>
      <c r="F73" s="44" t="s">
        <v>221</v>
      </c>
      <c r="G73" s="9">
        <f>'06_Raw_Quarterly_Performance'!F7</f>
        <v>15074</v>
      </c>
      <c r="H73" s="62" t="s">
        <v>518</v>
      </c>
      <c r="I73" s="62" t="s">
        <v>533</v>
      </c>
    </row>
    <row r="74" spans="1:9">
      <c r="A74" s="44" t="s">
        <v>517</v>
      </c>
      <c r="B74" s="44" t="s">
        <v>248</v>
      </c>
      <c r="C74" s="44">
        <v>5</v>
      </c>
      <c r="D74" s="44" t="s">
        <v>470</v>
      </c>
      <c r="E74" s="44" t="s">
        <v>225</v>
      </c>
      <c r="F74" s="44" t="s">
        <v>221</v>
      </c>
      <c r="G74" s="9">
        <f>'06_Raw_Quarterly_Performance'!G7</f>
        <v>16739</v>
      </c>
      <c r="H74" s="62" t="s">
        <v>518</v>
      </c>
      <c r="I74" s="62" t="s">
        <v>534</v>
      </c>
    </row>
    <row r="75" spans="1:9">
      <c r="A75" s="44" t="s">
        <v>517</v>
      </c>
      <c r="B75" s="44" t="s">
        <v>249</v>
      </c>
      <c r="C75" s="44">
        <v>6</v>
      </c>
      <c r="D75" s="44" t="s">
        <v>470</v>
      </c>
      <c r="E75" s="44" t="s">
        <v>225</v>
      </c>
      <c r="F75" s="44" t="s">
        <v>221</v>
      </c>
      <c r="G75" s="9">
        <f>'06_Raw_Quarterly_Performance'!H7</f>
        <v>15672</v>
      </c>
      <c r="H75" s="62" t="s">
        <v>518</v>
      </c>
      <c r="I75" s="62" t="s">
        <v>535</v>
      </c>
    </row>
    <row r="76" spans="1:9">
      <c r="A76" s="44" t="s">
        <v>517</v>
      </c>
      <c r="B76" s="44" t="s">
        <v>250</v>
      </c>
      <c r="C76" s="44">
        <v>7</v>
      </c>
      <c r="D76" s="44" t="s">
        <v>470</v>
      </c>
      <c r="E76" s="44" t="s">
        <v>225</v>
      </c>
      <c r="F76" s="44" t="s">
        <v>221</v>
      </c>
      <c r="G76" s="9">
        <f>'06_Raw_Quarterly_Performance'!I7</f>
        <v>16985</v>
      </c>
      <c r="H76" s="62" t="s">
        <v>518</v>
      </c>
      <c r="I76" s="62" t="s">
        <v>536</v>
      </c>
    </row>
    <row r="77" spans="1:9">
      <c r="A77" s="44" t="s">
        <v>517</v>
      </c>
      <c r="B77" s="44" t="s">
        <v>251</v>
      </c>
      <c r="C77" s="44">
        <v>8</v>
      </c>
      <c r="D77" s="44" t="s">
        <v>470</v>
      </c>
      <c r="E77" s="44" t="s">
        <v>225</v>
      </c>
      <c r="F77" s="44" t="s">
        <v>221</v>
      </c>
      <c r="G77" s="9">
        <f>'06_Raw_Quarterly_Performance'!J7</f>
        <v>17209</v>
      </c>
      <c r="H77" s="62" t="s">
        <v>518</v>
      </c>
      <c r="I77" s="62" t="s">
        <v>537</v>
      </c>
    </row>
    <row r="78" spans="1:9">
      <c r="A78" s="44" t="s">
        <v>517</v>
      </c>
      <c r="B78" s="44" t="s">
        <v>252</v>
      </c>
      <c r="C78" s="44">
        <v>9</v>
      </c>
      <c r="D78" s="44" t="s">
        <v>470</v>
      </c>
      <c r="E78" s="44" t="s">
        <v>225</v>
      </c>
      <c r="F78" s="44" t="s">
        <v>221</v>
      </c>
      <c r="G78" s="9">
        <f>'06_Raw_Quarterly_Performance'!K7</f>
        <v>17960</v>
      </c>
      <c r="H78" s="62" t="s">
        <v>518</v>
      </c>
      <c r="I78" s="62" t="s">
        <v>538</v>
      </c>
    </row>
    <row r="79" spans="1:9">
      <c r="A79" s="44" t="s">
        <v>517</v>
      </c>
      <c r="B79" s="44" t="s">
        <v>123</v>
      </c>
      <c r="C79" s="44">
        <v>10</v>
      </c>
      <c r="D79" s="44" t="s">
        <v>470</v>
      </c>
      <c r="E79" s="44" t="s">
        <v>225</v>
      </c>
      <c r="F79" s="44" t="s">
        <v>221</v>
      </c>
      <c r="G79" s="9">
        <f>'06_Raw_Quarterly_Performance'!L7</f>
        <v>17453</v>
      </c>
      <c r="H79" s="62" t="s">
        <v>518</v>
      </c>
      <c r="I79" s="62" t="s">
        <v>539</v>
      </c>
    </row>
    <row r="80" spans="1:9">
      <c r="A80" s="44" t="s">
        <v>517</v>
      </c>
      <c r="B80" s="44" t="s">
        <v>244</v>
      </c>
      <c r="C80" s="44">
        <v>1</v>
      </c>
      <c r="D80" s="44" t="s">
        <v>470</v>
      </c>
      <c r="E80" s="44" t="s">
        <v>160</v>
      </c>
      <c r="F80" s="44" t="s">
        <v>221</v>
      </c>
      <c r="G80" s="9">
        <f>'06_Raw_Quarterly_Performance'!C8</f>
        <v>813</v>
      </c>
      <c r="H80" s="62" t="s">
        <v>518</v>
      </c>
      <c r="I80" s="62" t="s">
        <v>481</v>
      </c>
    </row>
    <row r="81" spans="1:9">
      <c r="A81" s="44" t="s">
        <v>517</v>
      </c>
      <c r="B81" s="44" t="s">
        <v>245</v>
      </c>
      <c r="C81" s="44">
        <v>2</v>
      </c>
      <c r="D81" s="44" t="s">
        <v>470</v>
      </c>
      <c r="E81" s="44" t="s">
        <v>160</v>
      </c>
      <c r="F81" s="44" t="s">
        <v>221</v>
      </c>
      <c r="G81" s="9">
        <f>'06_Raw_Quarterly_Performance'!D8</f>
        <v>920</v>
      </c>
      <c r="H81" s="62" t="s">
        <v>518</v>
      </c>
      <c r="I81" s="62" t="s">
        <v>482</v>
      </c>
    </row>
    <row r="82" spans="1:9">
      <c r="A82" s="44" t="s">
        <v>517</v>
      </c>
      <c r="B82" s="44" t="s">
        <v>246</v>
      </c>
      <c r="C82" s="44">
        <v>3</v>
      </c>
      <c r="D82" s="44" t="s">
        <v>470</v>
      </c>
      <c r="E82" s="44" t="s">
        <v>160</v>
      </c>
      <c r="F82" s="44" t="s">
        <v>221</v>
      </c>
      <c r="G82" s="9">
        <f>'06_Raw_Quarterly_Performance'!E8</f>
        <v>659</v>
      </c>
      <c r="H82" s="62" t="s">
        <v>518</v>
      </c>
      <c r="I82" s="62" t="s">
        <v>483</v>
      </c>
    </row>
    <row r="83" spans="1:9">
      <c r="A83" s="44" t="s">
        <v>517</v>
      </c>
      <c r="B83" s="44" t="s">
        <v>247</v>
      </c>
      <c r="C83" s="44">
        <v>4</v>
      </c>
      <c r="D83" s="44" t="s">
        <v>470</v>
      </c>
      <c r="E83" s="44" t="s">
        <v>160</v>
      </c>
      <c r="F83" s="44" t="s">
        <v>221</v>
      </c>
      <c r="G83" s="9">
        <f>'06_Raw_Quarterly_Performance'!F8</f>
        <v>840</v>
      </c>
      <c r="H83" s="62" t="s">
        <v>518</v>
      </c>
      <c r="I83" s="62" t="s">
        <v>540</v>
      </c>
    </row>
    <row r="84" spans="1:9">
      <c r="A84" s="44" t="s">
        <v>517</v>
      </c>
      <c r="B84" s="44" t="s">
        <v>248</v>
      </c>
      <c r="C84" s="44">
        <v>5</v>
      </c>
      <c r="D84" s="44" t="s">
        <v>470</v>
      </c>
      <c r="E84" s="44" t="s">
        <v>160</v>
      </c>
      <c r="F84" s="44" t="s">
        <v>221</v>
      </c>
      <c r="G84" s="9">
        <f>'06_Raw_Quarterly_Performance'!G8</f>
        <v>1050</v>
      </c>
      <c r="H84" s="62" t="s">
        <v>518</v>
      </c>
      <c r="I84" s="62" t="s">
        <v>541</v>
      </c>
    </row>
    <row r="85" spans="1:9">
      <c r="A85" s="44" t="s">
        <v>517</v>
      </c>
      <c r="B85" s="44" t="s">
        <v>249</v>
      </c>
      <c r="C85" s="44">
        <v>6</v>
      </c>
      <c r="D85" s="44" t="s">
        <v>470</v>
      </c>
      <c r="E85" s="44" t="s">
        <v>160</v>
      </c>
      <c r="F85" s="44" t="s">
        <v>221</v>
      </c>
      <c r="G85" s="9">
        <f>'06_Raw_Quarterly_Performance'!H8</f>
        <v>1424</v>
      </c>
      <c r="H85" s="62" t="s">
        <v>518</v>
      </c>
      <c r="I85" s="62" t="s">
        <v>542</v>
      </c>
    </row>
    <row r="86" spans="1:9">
      <c r="A86" s="44" t="s">
        <v>517</v>
      </c>
      <c r="B86" s="44" t="s">
        <v>250</v>
      </c>
      <c r="C86" s="44">
        <v>7</v>
      </c>
      <c r="D86" s="44" t="s">
        <v>470</v>
      </c>
      <c r="E86" s="44" t="s">
        <v>160</v>
      </c>
      <c r="F86" s="44" t="s">
        <v>221</v>
      </c>
      <c r="G86" s="9">
        <f>'06_Raw_Quarterly_Performance'!I8</f>
        <v>881</v>
      </c>
      <c r="H86" s="62" t="s">
        <v>518</v>
      </c>
      <c r="I86" s="62" t="s">
        <v>543</v>
      </c>
    </row>
    <row r="87" spans="1:9">
      <c r="A87" s="44" t="s">
        <v>517</v>
      </c>
      <c r="B87" s="44" t="s">
        <v>251</v>
      </c>
      <c r="C87" s="44">
        <v>8</v>
      </c>
      <c r="D87" s="44" t="s">
        <v>470</v>
      </c>
      <c r="E87" s="44" t="s">
        <v>160</v>
      </c>
      <c r="F87" s="44" t="s">
        <v>221</v>
      </c>
      <c r="G87" s="9">
        <f>'06_Raw_Quarterly_Performance'!J8</f>
        <v>1007</v>
      </c>
      <c r="H87" s="62" t="s">
        <v>518</v>
      </c>
      <c r="I87" s="62" t="s">
        <v>544</v>
      </c>
    </row>
    <row r="88" spans="1:9">
      <c r="A88" s="44" t="s">
        <v>517</v>
      </c>
      <c r="B88" s="44" t="s">
        <v>252</v>
      </c>
      <c r="C88" s="44">
        <v>9</v>
      </c>
      <c r="D88" s="44" t="s">
        <v>470</v>
      </c>
      <c r="E88" s="44" t="s">
        <v>160</v>
      </c>
      <c r="F88" s="44" t="s">
        <v>221</v>
      </c>
      <c r="G88" s="9">
        <f>'06_Raw_Quarterly_Performance'!K8</f>
        <v>1090</v>
      </c>
      <c r="H88" s="62" t="s">
        <v>518</v>
      </c>
      <c r="I88" s="62" t="s">
        <v>545</v>
      </c>
    </row>
    <row r="89" spans="1:9">
      <c r="A89" s="44" t="s">
        <v>517</v>
      </c>
      <c r="B89" s="44" t="s">
        <v>123</v>
      </c>
      <c r="C89" s="44">
        <v>10</v>
      </c>
      <c r="D89" s="44" t="s">
        <v>470</v>
      </c>
      <c r="E89" s="44" t="s">
        <v>160</v>
      </c>
      <c r="F89" s="44" t="s">
        <v>221</v>
      </c>
      <c r="G89" s="9">
        <f>'06_Raw_Quarterly_Performance'!L8</f>
        <v>912</v>
      </c>
      <c r="H89" s="62" t="s">
        <v>518</v>
      </c>
      <c r="I89" s="62" t="s">
        <v>546</v>
      </c>
    </row>
    <row r="90" spans="1:9">
      <c r="A90" s="44" t="s">
        <v>517</v>
      </c>
      <c r="B90" s="44" t="s">
        <v>244</v>
      </c>
      <c r="C90" s="44">
        <v>1</v>
      </c>
      <c r="D90" s="44" t="s">
        <v>470</v>
      </c>
      <c r="E90" s="44" t="s">
        <v>226</v>
      </c>
      <c r="F90" s="44" t="s">
        <v>221</v>
      </c>
      <c r="G90" s="9">
        <f>'06_Raw_Quarterly_Performance'!C9</f>
        <v>8324</v>
      </c>
      <c r="H90" s="62" t="s">
        <v>518</v>
      </c>
      <c r="I90" s="62" t="s">
        <v>484</v>
      </c>
    </row>
    <row r="91" spans="1:9">
      <c r="A91" s="44" t="s">
        <v>517</v>
      </c>
      <c r="B91" s="44" t="s">
        <v>245</v>
      </c>
      <c r="C91" s="44">
        <v>2</v>
      </c>
      <c r="D91" s="44" t="s">
        <v>470</v>
      </c>
      <c r="E91" s="44" t="s">
        <v>226</v>
      </c>
      <c r="F91" s="44" t="s">
        <v>221</v>
      </c>
      <c r="G91" s="9">
        <f>'06_Raw_Quarterly_Performance'!D9</f>
        <v>8308</v>
      </c>
      <c r="H91" s="62" t="s">
        <v>518</v>
      </c>
      <c r="I91" s="62" t="s">
        <v>485</v>
      </c>
    </row>
    <row r="92" spans="1:9">
      <c r="A92" s="44" t="s">
        <v>517</v>
      </c>
      <c r="B92" s="44" t="s">
        <v>246</v>
      </c>
      <c r="C92" s="44">
        <v>3</v>
      </c>
      <c r="D92" s="44" t="s">
        <v>470</v>
      </c>
      <c r="E92" s="44" t="s">
        <v>226</v>
      </c>
      <c r="F92" s="44" t="s">
        <v>221</v>
      </c>
      <c r="G92" s="9">
        <f>'06_Raw_Quarterly_Performance'!E9</f>
        <v>8599</v>
      </c>
      <c r="H92" s="62" t="s">
        <v>518</v>
      </c>
      <c r="I92" s="62" t="s">
        <v>486</v>
      </c>
    </row>
    <row r="93" spans="1:9">
      <c r="A93" s="44" t="s">
        <v>517</v>
      </c>
      <c r="B93" s="44" t="s">
        <v>247</v>
      </c>
      <c r="C93" s="44">
        <v>4</v>
      </c>
      <c r="D93" s="44" t="s">
        <v>470</v>
      </c>
      <c r="E93" s="44" t="s">
        <v>226</v>
      </c>
      <c r="F93" s="44" t="s">
        <v>221</v>
      </c>
      <c r="G93" s="9">
        <f>'06_Raw_Quarterly_Performance'!F9</f>
        <v>9019</v>
      </c>
      <c r="H93" s="62" t="s">
        <v>518</v>
      </c>
      <c r="I93" s="62" t="s">
        <v>547</v>
      </c>
    </row>
    <row r="94" spans="1:9">
      <c r="A94" s="44" t="s">
        <v>517</v>
      </c>
      <c r="B94" s="44" t="s">
        <v>248</v>
      </c>
      <c r="C94" s="44">
        <v>5</v>
      </c>
      <c r="D94" s="44" t="s">
        <v>470</v>
      </c>
      <c r="E94" s="44" t="s">
        <v>226</v>
      </c>
      <c r="F94" s="44" t="s">
        <v>221</v>
      </c>
      <c r="G94" s="9">
        <f>'06_Raw_Quarterly_Performance'!G9</f>
        <v>9256</v>
      </c>
      <c r="H94" s="62" t="s">
        <v>518</v>
      </c>
      <c r="I94" s="62" t="s">
        <v>548</v>
      </c>
    </row>
    <row r="95" spans="1:9">
      <c r="A95" s="44" t="s">
        <v>517</v>
      </c>
      <c r="B95" s="44" t="s">
        <v>249</v>
      </c>
      <c r="C95" s="44">
        <v>6</v>
      </c>
      <c r="D95" s="44" t="s">
        <v>470</v>
      </c>
      <c r="E95" s="44" t="s">
        <v>226</v>
      </c>
      <c r="F95" s="44" t="s">
        <v>221</v>
      </c>
      <c r="G95" s="9">
        <f>'06_Raw_Quarterly_Performance'!H9</f>
        <v>8730</v>
      </c>
      <c r="H95" s="62" t="s">
        <v>518</v>
      </c>
      <c r="I95" s="62" t="s">
        <v>549</v>
      </c>
    </row>
    <row r="96" spans="1:9">
      <c r="A96" s="44" t="s">
        <v>517</v>
      </c>
      <c r="B96" s="44" t="s">
        <v>250</v>
      </c>
      <c r="C96" s="44">
        <v>7</v>
      </c>
      <c r="D96" s="44" t="s">
        <v>470</v>
      </c>
      <c r="E96" s="44" t="s">
        <v>226</v>
      </c>
      <c r="F96" s="44" t="s">
        <v>221</v>
      </c>
      <c r="G96" s="9">
        <f>'06_Raw_Quarterly_Performance'!I9</f>
        <v>9232</v>
      </c>
      <c r="H96" s="62" t="s">
        <v>518</v>
      </c>
      <c r="I96" s="62" t="s">
        <v>550</v>
      </c>
    </row>
    <row r="97" spans="1:9">
      <c r="A97" s="44" t="s">
        <v>517</v>
      </c>
      <c r="B97" s="44" t="s">
        <v>251</v>
      </c>
      <c r="C97" s="44">
        <v>8</v>
      </c>
      <c r="D97" s="44" t="s">
        <v>470</v>
      </c>
      <c r="E97" s="44" t="s">
        <v>226</v>
      </c>
      <c r="F97" s="44" t="s">
        <v>221</v>
      </c>
      <c r="G97" s="9">
        <f>'06_Raw_Quarterly_Performance'!J9</f>
        <v>9374</v>
      </c>
      <c r="H97" s="62" t="s">
        <v>518</v>
      </c>
      <c r="I97" s="62" t="s">
        <v>551</v>
      </c>
    </row>
    <row r="98" spans="1:9">
      <c r="A98" s="44" t="s">
        <v>517</v>
      </c>
      <c r="B98" s="44" t="s">
        <v>252</v>
      </c>
      <c r="C98" s="44">
        <v>9</v>
      </c>
      <c r="D98" s="44" t="s">
        <v>470</v>
      </c>
      <c r="E98" s="44" t="s">
        <v>226</v>
      </c>
      <c r="F98" s="44" t="s">
        <v>221</v>
      </c>
      <c r="G98" s="9">
        <f>'06_Raw_Quarterly_Performance'!K9</f>
        <v>9463</v>
      </c>
      <c r="H98" s="62" t="s">
        <v>518</v>
      </c>
      <c r="I98" s="62" t="s">
        <v>552</v>
      </c>
    </row>
    <row r="99" spans="1:9">
      <c r="A99" s="44" t="s">
        <v>517</v>
      </c>
      <c r="B99" s="44" t="s">
        <v>123</v>
      </c>
      <c r="C99" s="44">
        <v>10</v>
      </c>
      <c r="D99" s="44" t="s">
        <v>470</v>
      </c>
      <c r="E99" s="44" t="s">
        <v>226</v>
      </c>
      <c r="F99" s="44" t="s">
        <v>221</v>
      </c>
      <c r="G99" s="9">
        <f>'06_Raw_Quarterly_Performance'!L9</f>
        <v>9437</v>
      </c>
      <c r="H99" s="62" t="s">
        <v>518</v>
      </c>
      <c r="I99" s="62" t="s">
        <v>553</v>
      </c>
    </row>
    <row r="100" spans="1:9">
      <c r="A100" s="44" t="s">
        <v>517</v>
      </c>
      <c r="B100" s="44" t="s">
        <v>244</v>
      </c>
      <c r="C100" s="44">
        <v>1</v>
      </c>
      <c r="D100" s="44" t="s">
        <v>470</v>
      </c>
      <c r="E100" s="44" t="s">
        <v>227</v>
      </c>
      <c r="F100" s="44" t="s">
        <v>221</v>
      </c>
      <c r="G100" s="9">
        <f>'06_Raw_Quarterly_Performance'!C10</f>
        <v>4348</v>
      </c>
      <c r="H100" s="62" t="s">
        <v>518</v>
      </c>
      <c r="I100" s="62" t="s">
        <v>487</v>
      </c>
    </row>
    <row r="101" spans="1:9">
      <c r="A101" s="44" t="s">
        <v>517</v>
      </c>
      <c r="B101" s="44" t="s">
        <v>245</v>
      </c>
      <c r="C101" s="44">
        <v>2</v>
      </c>
      <c r="D101" s="44" t="s">
        <v>470</v>
      </c>
      <c r="E101" s="44" t="s">
        <v>227</v>
      </c>
      <c r="F101" s="44" t="s">
        <v>221</v>
      </c>
      <c r="G101" s="9">
        <f>'06_Raw_Quarterly_Performance'!D10</f>
        <v>4926</v>
      </c>
      <c r="H101" s="62" t="s">
        <v>518</v>
      </c>
      <c r="I101" s="62" t="s">
        <v>488</v>
      </c>
    </row>
    <row r="102" spans="1:9">
      <c r="A102" s="44" t="s">
        <v>517</v>
      </c>
      <c r="B102" s="44" t="s">
        <v>246</v>
      </c>
      <c r="C102" s="44">
        <v>3</v>
      </c>
      <c r="D102" s="44" t="s">
        <v>470</v>
      </c>
      <c r="E102" s="44" t="s">
        <v>227</v>
      </c>
      <c r="F102" s="44" t="s">
        <v>221</v>
      </c>
      <c r="G102" s="9">
        <f>'06_Raw_Quarterly_Performance'!E10</f>
        <v>5373</v>
      </c>
      <c r="H102" s="62" t="s">
        <v>518</v>
      </c>
      <c r="I102" s="62" t="s">
        <v>489</v>
      </c>
    </row>
    <row r="103" spans="1:9">
      <c r="A103" s="44" t="s">
        <v>517</v>
      </c>
      <c r="B103" s="44" t="s">
        <v>247</v>
      </c>
      <c r="C103" s="44">
        <v>4</v>
      </c>
      <c r="D103" s="44" t="s">
        <v>470</v>
      </c>
      <c r="E103" s="44" t="s">
        <v>227</v>
      </c>
      <c r="F103" s="44" t="s">
        <v>221</v>
      </c>
      <c r="G103" s="9">
        <f>'06_Raw_Quarterly_Performance'!F10</f>
        <v>5215</v>
      </c>
      <c r="H103" s="62" t="s">
        <v>518</v>
      </c>
      <c r="I103" s="62" t="s">
        <v>554</v>
      </c>
    </row>
    <row r="104" spans="1:9">
      <c r="A104" s="44" t="s">
        <v>517</v>
      </c>
      <c r="B104" s="44" t="s">
        <v>248</v>
      </c>
      <c r="C104" s="44">
        <v>5</v>
      </c>
      <c r="D104" s="44" t="s">
        <v>470</v>
      </c>
      <c r="E104" s="44" t="s">
        <v>227</v>
      </c>
      <c r="F104" s="44" t="s">
        <v>221</v>
      </c>
      <c r="G104" s="9">
        <f>'06_Raw_Quarterly_Performance'!G10</f>
        <v>6433</v>
      </c>
      <c r="H104" s="62" t="s">
        <v>518</v>
      </c>
      <c r="I104" s="62" t="s">
        <v>555</v>
      </c>
    </row>
    <row r="105" spans="1:9">
      <c r="A105" s="44" t="s">
        <v>517</v>
      </c>
      <c r="B105" s="44" t="s">
        <v>249</v>
      </c>
      <c r="C105" s="44">
        <v>6</v>
      </c>
      <c r="D105" s="44" t="s">
        <v>470</v>
      </c>
      <c r="E105" s="44" t="s">
        <v>227</v>
      </c>
      <c r="F105" s="44" t="s">
        <v>221</v>
      </c>
      <c r="G105" s="9">
        <f>'06_Raw_Quarterly_Performance'!H10</f>
        <v>5518</v>
      </c>
      <c r="H105" s="62" t="s">
        <v>518</v>
      </c>
      <c r="I105" s="62" t="s">
        <v>556</v>
      </c>
    </row>
    <row r="106" spans="1:9">
      <c r="A106" s="44" t="s">
        <v>517</v>
      </c>
      <c r="B106" s="44" t="s">
        <v>250</v>
      </c>
      <c r="C106" s="44">
        <v>7</v>
      </c>
      <c r="D106" s="44" t="s">
        <v>470</v>
      </c>
      <c r="E106" s="44" t="s">
        <v>227</v>
      </c>
      <c r="F106" s="44" t="s">
        <v>221</v>
      </c>
      <c r="G106" s="9">
        <f>'06_Raw_Quarterly_Performance'!I10</f>
        <v>6872</v>
      </c>
      <c r="H106" s="62" t="s">
        <v>518</v>
      </c>
      <c r="I106" s="62" t="s">
        <v>557</v>
      </c>
    </row>
    <row r="107" spans="1:9">
      <c r="A107" s="44" t="s">
        <v>517</v>
      </c>
      <c r="B107" s="44" t="s">
        <v>251</v>
      </c>
      <c r="C107" s="44">
        <v>8</v>
      </c>
      <c r="D107" s="44" t="s">
        <v>470</v>
      </c>
      <c r="E107" s="44" t="s">
        <v>227</v>
      </c>
      <c r="F107" s="44" t="s">
        <v>221</v>
      </c>
      <c r="G107" s="9">
        <f>'06_Raw_Quarterly_Performance'!J10</f>
        <v>6828</v>
      </c>
      <c r="H107" s="62" t="s">
        <v>518</v>
      </c>
      <c r="I107" s="62" t="s">
        <v>558</v>
      </c>
    </row>
    <row r="108" spans="1:9">
      <c r="A108" s="44" t="s">
        <v>517</v>
      </c>
      <c r="B108" s="44" t="s">
        <v>252</v>
      </c>
      <c r="C108" s="44">
        <v>9</v>
      </c>
      <c r="D108" s="44" t="s">
        <v>470</v>
      </c>
      <c r="E108" s="44" t="s">
        <v>227</v>
      </c>
      <c r="F108" s="44" t="s">
        <v>221</v>
      </c>
      <c r="G108" s="9">
        <f>'06_Raw_Quarterly_Performance'!K10</f>
        <v>7407</v>
      </c>
      <c r="H108" s="62" t="s">
        <v>518</v>
      </c>
      <c r="I108" s="62" t="s">
        <v>559</v>
      </c>
    </row>
    <row r="109" spans="1:9">
      <c r="A109" s="44" t="s">
        <v>517</v>
      </c>
      <c r="B109" s="44" t="s">
        <v>123</v>
      </c>
      <c r="C109" s="44">
        <v>10</v>
      </c>
      <c r="D109" s="44" t="s">
        <v>470</v>
      </c>
      <c r="E109" s="44" t="s">
        <v>227</v>
      </c>
      <c r="F109" s="44" t="s">
        <v>221</v>
      </c>
      <c r="G109" s="9">
        <f>'06_Raw_Quarterly_Performance'!L10</f>
        <v>7104</v>
      </c>
      <c r="H109" s="62" t="s">
        <v>518</v>
      </c>
      <c r="I109" s="62" t="s">
        <v>560</v>
      </c>
    </row>
    <row r="110" spans="1:9">
      <c r="A110" s="44" t="s">
        <v>517</v>
      </c>
      <c r="B110" s="44" t="s">
        <v>244</v>
      </c>
      <c r="C110" s="44">
        <v>1</v>
      </c>
      <c r="D110" s="44" t="s">
        <v>470</v>
      </c>
      <c r="E110" s="44" t="s">
        <v>228</v>
      </c>
      <c r="F110" s="44" t="s">
        <v>221</v>
      </c>
      <c r="G110" s="9">
        <f>'06_Raw_Quarterly_Performance'!C11</f>
        <v>766</v>
      </c>
      <c r="H110" s="62" t="s">
        <v>518</v>
      </c>
      <c r="I110" s="62" t="s">
        <v>490</v>
      </c>
    </row>
    <row r="111" spans="1:9">
      <c r="A111" s="44" t="s">
        <v>517</v>
      </c>
      <c r="B111" s="44" t="s">
        <v>245</v>
      </c>
      <c r="C111" s="44">
        <v>2</v>
      </c>
      <c r="D111" s="44" t="s">
        <v>470</v>
      </c>
      <c r="E111" s="44" t="s">
        <v>228</v>
      </c>
      <c r="F111" s="44" t="s">
        <v>221</v>
      </c>
      <c r="G111" s="9">
        <f>'06_Raw_Quarterly_Performance'!D11</f>
        <v>976</v>
      </c>
      <c r="H111" s="62" t="s">
        <v>518</v>
      </c>
      <c r="I111" s="62" t="s">
        <v>491</v>
      </c>
    </row>
    <row r="112" spans="1:9">
      <c r="A112" s="44" t="s">
        <v>517</v>
      </c>
      <c r="B112" s="44" t="s">
        <v>246</v>
      </c>
      <c r="C112" s="44">
        <v>3</v>
      </c>
      <c r="D112" s="44" t="s">
        <v>470</v>
      </c>
      <c r="E112" s="44" t="s">
        <v>228</v>
      </c>
      <c r="F112" s="44" t="s">
        <v>221</v>
      </c>
      <c r="G112" s="9">
        <f>'06_Raw_Quarterly_Performance'!E11</f>
        <v>887</v>
      </c>
      <c r="H112" s="62" t="s">
        <v>518</v>
      </c>
      <c r="I112" s="62" t="s">
        <v>492</v>
      </c>
    </row>
    <row r="113" spans="1:9">
      <c r="A113" s="44" t="s">
        <v>517</v>
      </c>
      <c r="B113" s="44" t="s">
        <v>247</v>
      </c>
      <c r="C113" s="44">
        <v>4</v>
      </c>
      <c r="D113" s="44" t="s">
        <v>470</v>
      </c>
      <c r="E113" s="44" t="s">
        <v>228</v>
      </c>
      <c r="F113" s="44" t="s">
        <v>221</v>
      </c>
      <c r="G113" s="9">
        <f>'06_Raw_Quarterly_Performance'!F11</f>
        <v>993</v>
      </c>
      <c r="H113" s="62" t="s">
        <v>518</v>
      </c>
      <c r="I113" s="62" t="s">
        <v>561</v>
      </c>
    </row>
    <row r="114" spans="1:9">
      <c r="A114" s="44" t="s">
        <v>517</v>
      </c>
      <c r="B114" s="44" t="s">
        <v>248</v>
      </c>
      <c r="C114" s="44">
        <v>5</v>
      </c>
      <c r="D114" s="44" t="s">
        <v>470</v>
      </c>
      <c r="E114" s="44" t="s">
        <v>228</v>
      </c>
      <c r="F114" s="44" t="s">
        <v>221</v>
      </c>
      <c r="G114" s="9">
        <f>'06_Raw_Quarterly_Performance'!G11</f>
        <v>1302</v>
      </c>
      <c r="H114" s="62" t="s">
        <v>518</v>
      </c>
      <c r="I114" s="62" t="s">
        <v>562</v>
      </c>
    </row>
    <row r="115" spans="1:9">
      <c r="A115" s="44" t="s">
        <v>517</v>
      </c>
      <c r="B115" s="44" t="s">
        <v>249</v>
      </c>
      <c r="C115" s="44">
        <v>6</v>
      </c>
      <c r="D115" s="44" t="s">
        <v>470</v>
      </c>
      <c r="E115" s="44" t="s">
        <v>228</v>
      </c>
      <c r="F115" s="44" t="s">
        <v>221</v>
      </c>
      <c r="G115" s="9">
        <f>'06_Raw_Quarterly_Performance'!H11</f>
        <v>1128</v>
      </c>
      <c r="H115" s="62" t="s">
        <v>518</v>
      </c>
      <c r="I115" s="62" t="s">
        <v>563</v>
      </c>
    </row>
    <row r="116" spans="1:9">
      <c r="A116" s="44" t="s">
        <v>517</v>
      </c>
      <c r="B116" s="44" t="s">
        <v>250</v>
      </c>
      <c r="C116" s="44">
        <v>7</v>
      </c>
      <c r="D116" s="44" t="s">
        <v>470</v>
      </c>
      <c r="E116" s="44" t="s">
        <v>228</v>
      </c>
      <c r="F116" s="44" t="s">
        <v>221</v>
      </c>
      <c r="G116" s="9">
        <f>'06_Raw_Quarterly_Performance'!I11</f>
        <v>1458</v>
      </c>
      <c r="H116" s="62" t="s">
        <v>518</v>
      </c>
      <c r="I116" s="62" t="s">
        <v>564</v>
      </c>
    </row>
    <row r="117" spans="1:9">
      <c r="A117" s="44" t="s">
        <v>517</v>
      </c>
      <c r="B117" s="44" t="s">
        <v>251</v>
      </c>
      <c r="C117" s="44">
        <v>8</v>
      </c>
      <c r="D117" s="44" t="s">
        <v>470</v>
      </c>
      <c r="E117" s="44" t="s">
        <v>228</v>
      </c>
      <c r="F117" s="44" t="s">
        <v>221</v>
      </c>
      <c r="G117" s="9">
        <f>'06_Raw_Quarterly_Performance'!J11</f>
        <v>1394</v>
      </c>
      <c r="H117" s="62" t="s">
        <v>518</v>
      </c>
      <c r="I117" s="62" t="s">
        <v>565</v>
      </c>
    </row>
    <row r="118" spans="1:9">
      <c r="A118" s="44" t="s">
        <v>517</v>
      </c>
      <c r="B118" s="44" t="s">
        <v>252</v>
      </c>
      <c r="C118" s="44">
        <v>9</v>
      </c>
      <c r="D118" s="44" t="s">
        <v>470</v>
      </c>
      <c r="E118" s="44" t="s">
        <v>228</v>
      </c>
      <c r="F118" s="44" t="s">
        <v>221</v>
      </c>
      <c r="G118" s="9">
        <f>'06_Raw_Quarterly_Performance'!K11</f>
        <v>1622</v>
      </c>
      <c r="H118" s="62" t="s">
        <v>518</v>
      </c>
      <c r="I118" s="62" t="s">
        <v>566</v>
      </c>
    </row>
    <row r="119" spans="1:9">
      <c r="A119" s="44" t="s">
        <v>517</v>
      </c>
      <c r="B119" s="44" t="s">
        <v>123</v>
      </c>
      <c r="C119" s="44">
        <v>10</v>
      </c>
      <c r="D119" s="44" t="s">
        <v>470</v>
      </c>
      <c r="E119" s="44" t="s">
        <v>228</v>
      </c>
      <c r="F119" s="44" t="s">
        <v>221</v>
      </c>
      <c r="G119" s="9">
        <f>'06_Raw_Quarterly_Performance'!L11</f>
        <v>1595</v>
      </c>
      <c r="H119" s="62" t="s">
        <v>518</v>
      </c>
      <c r="I119" s="62" t="s">
        <v>567</v>
      </c>
    </row>
    <row r="120" spans="1:9">
      <c r="A120" s="44" t="s">
        <v>517</v>
      </c>
      <c r="B120" s="44" t="s">
        <v>244</v>
      </c>
      <c r="C120" s="44">
        <v>1</v>
      </c>
      <c r="D120" s="44" t="s">
        <v>470</v>
      </c>
      <c r="E120" s="44" t="s">
        <v>229</v>
      </c>
      <c r="F120" s="44" t="s">
        <v>221</v>
      </c>
      <c r="G120" s="9">
        <f>'06_Raw_Quarterly_Performance'!C12</f>
        <v>3582</v>
      </c>
      <c r="H120" s="62" t="s">
        <v>518</v>
      </c>
      <c r="I120" s="62" t="s">
        <v>493</v>
      </c>
    </row>
    <row r="121" spans="1:9">
      <c r="A121" s="44" t="s">
        <v>517</v>
      </c>
      <c r="B121" s="44" t="s">
        <v>245</v>
      </c>
      <c r="C121" s="44">
        <v>2</v>
      </c>
      <c r="D121" s="44" t="s">
        <v>470</v>
      </c>
      <c r="E121" s="44" t="s">
        <v>229</v>
      </c>
      <c r="F121" s="44" t="s">
        <v>221</v>
      </c>
      <c r="G121" s="9">
        <f>'06_Raw_Quarterly_Performance'!D12</f>
        <v>3950</v>
      </c>
      <c r="H121" s="62" t="s">
        <v>518</v>
      </c>
      <c r="I121" s="62" t="s">
        <v>494</v>
      </c>
    </row>
    <row r="122" spans="1:9">
      <c r="A122" s="44" t="s">
        <v>517</v>
      </c>
      <c r="B122" s="44" t="s">
        <v>246</v>
      </c>
      <c r="C122" s="44">
        <v>3</v>
      </c>
      <c r="D122" s="44" t="s">
        <v>470</v>
      </c>
      <c r="E122" s="44" t="s">
        <v>229</v>
      </c>
      <c r="F122" s="44" t="s">
        <v>221</v>
      </c>
      <c r="G122" s="9">
        <f>'06_Raw_Quarterly_Performance'!E12</f>
        <v>4486</v>
      </c>
      <c r="H122" s="62" t="s">
        <v>518</v>
      </c>
      <c r="I122" s="62" t="s">
        <v>495</v>
      </c>
    </row>
    <row r="123" spans="1:9">
      <c r="A123" s="44" t="s">
        <v>517</v>
      </c>
      <c r="B123" s="44" t="s">
        <v>247</v>
      </c>
      <c r="C123" s="44">
        <v>4</v>
      </c>
      <c r="D123" s="44" t="s">
        <v>470</v>
      </c>
      <c r="E123" s="44" t="s">
        <v>229</v>
      </c>
      <c r="F123" s="44" t="s">
        <v>221</v>
      </c>
      <c r="G123" s="9">
        <f>'06_Raw_Quarterly_Performance'!F12</f>
        <v>4222</v>
      </c>
      <c r="H123" s="62" t="s">
        <v>518</v>
      </c>
      <c r="I123" s="62" t="s">
        <v>568</v>
      </c>
    </row>
    <row r="124" spans="1:9">
      <c r="A124" s="44" t="s">
        <v>517</v>
      </c>
      <c r="B124" s="44" t="s">
        <v>248</v>
      </c>
      <c r="C124" s="44">
        <v>5</v>
      </c>
      <c r="D124" s="44" t="s">
        <v>470</v>
      </c>
      <c r="E124" s="44" t="s">
        <v>229</v>
      </c>
      <c r="F124" s="44" t="s">
        <v>221</v>
      </c>
      <c r="G124" s="9">
        <f>'06_Raw_Quarterly_Performance'!G12</f>
        <v>5131</v>
      </c>
      <c r="H124" s="62" t="s">
        <v>518</v>
      </c>
      <c r="I124" s="62" t="s">
        <v>569</v>
      </c>
    </row>
    <row r="125" spans="1:9">
      <c r="A125" s="44" t="s">
        <v>517</v>
      </c>
      <c r="B125" s="44" t="s">
        <v>249</v>
      </c>
      <c r="C125" s="44">
        <v>6</v>
      </c>
      <c r="D125" s="44" t="s">
        <v>470</v>
      </c>
      <c r="E125" s="44" t="s">
        <v>229</v>
      </c>
      <c r="F125" s="44" t="s">
        <v>221</v>
      </c>
      <c r="G125" s="9">
        <f>'06_Raw_Quarterly_Performance'!H12</f>
        <v>4390</v>
      </c>
      <c r="H125" s="62" t="s">
        <v>518</v>
      </c>
      <c r="I125" s="62" t="s">
        <v>570</v>
      </c>
    </row>
    <row r="126" spans="1:9">
      <c r="A126" s="44" t="s">
        <v>517</v>
      </c>
      <c r="B126" s="44" t="s">
        <v>250</v>
      </c>
      <c r="C126" s="44">
        <v>7</v>
      </c>
      <c r="D126" s="44" t="s">
        <v>470</v>
      </c>
      <c r="E126" s="44" t="s">
        <v>229</v>
      </c>
      <c r="F126" s="44" t="s">
        <v>221</v>
      </c>
      <c r="G126" s="9">
        <f>'06_Raw_Quarterly_Performance'!I12</f>
        <v>5414</v>
      </c>
      <c r="H126" s="62" t="s">
        <v>518</v>
      </c>
      <c r="I126" s="62" t="s">
        <v>571</v>
      </c>
    </row>
    <row r="127" spans="1:9">
      <c r="A127" s="44" t="s">
        <v>517</v>
      </c>
      <c r="B127" s="44" t="s">
        <v>251</v>
      </c>
      <c r="C127" s="44">
        <v>8</v>
      </c>
      <c r="D127" s="44" t="s">
        <v>470</v>
      </c>
      <c r="E127" s="44" t="s">
        <v>229</v>
      </c>
      <c r="F127" s="44" t="s">
        <v>221</v>
      </c>
      <c r="G127" s="9">
        <f>'06_Raw_Quarterly_Performance'!J12</f>
        <v>5434</v>
      </c>
      <c r="H127" s="62" t="s">
        <v>518</v>
      </c>
      <c r="I127" s="62" t="s">
        <v>572</v>
      </c>
    </row>
    <row r="128" spans="1:9">
      <c r="A128" s="44" t="s">
        <v>517</v>
      </c>
      <c r="B128" s="44" t="s">
        <v>252</v>
      </c>
      <c r="C128" s="44">
        <v>9</v>
      </c>
      <c r="D128" s="44" t="s">
        <v>470</v>
      </c>
      <c r="E128" s="44" t="s">
        <v>229</v>
      </c>
      <c r="F128" s="44" t="s">
        <v>221</v>
      </c>
      <c r="G128" s="9">
        <f>'06_Raw_Quarterly_Performance'!K12</f>
        <v>5785</v>
      </c>
      <c r="H128" s="62" t="s">
        <v>518</v>
      </c>
      <c r="I128" s="62" t="s">
        <v>573</v>
      </c>
    </row>
    <row r="129" spans="1:9">
      <c r="A129" s="44" t="s">
        <v>517</v>
      </c>
      <c r="B129" s="44" t="s">
        <v>123</v>
      </c>
      <c r="C129" s="44">
        <v>10</v>
      </c>
      <c r="D129" s="44" t="s">
        <v>470</v>
      </c>
      <c r="E129" s="44" t="s">
        <v>229</v>
      </c>
      <c r="F129" s="44" t="s">
        <v>221</v>
      </c>
      <c r="G129" s="9">
        <f>'06_Raw_Quarterly_Performance'!L12</f>
        <v>5509</v>
      </c>
      <c r="H129" s="62" t="s">
        <v>518</v>
      </c>
      <c r="I129" s="62" t="s">
        <v>574</v>
      </c>
    </row>
    <row r="130" spans="1:9">
      <c r="A130" s="44" t="s">
        <v>517</v>
      </c>
      <c r="B130" s="44" t="s">
        <v>244</v>
      </c>
      <c r="C130" s="44">
        <v>1</v>
      </c>
      <c r="D130" s="44" t="s">
        <v>470</v>
      </c>
      <c r="E130" s="44" t="s">
        <v>230</v>
      </c>
      <c r="F130" s="44" t="s">
        <v>221</v>
      </c>
      <c r="G130" s="9">
        <f>'06_Raw_Quarterly_Performance'!C13</f>
        <v>3522</v>
      </c>
      <c r="H130" s="62" t="s">
        <v>518</v>
      </c>
      <c r="I130" s="62" t="s">
        <v>496</v>
      </c>
    </row>
    <row r="131" spans="1:9">
      <c r="A131" s="44" t="s">
        <v>517</v>
      </c>
      <c r="B131" s="44" t="s">
        <v>245</v>
      </c>
      <c r="C131" s="44">
        <v>2</v>
      </c>
      <c r="D131" s="44" t="s">
        <v>470</v>
      </c>
      <c r="E131" s="44" t="s">
        <v>230</v>
      </c>
      <c r="F131" s="44" t="s">
        <v>221</v>
      </c>
      <c r="G131" s="9">
        <f>'06_Raw_Quarterly_Performance'!D13</f>
        <v>3881</v>
      </c>
      <c r="H131" s="62" t="s">
        <v>518</v>
      </c>
      <c r="I131" s="62" t="s">
        <v>497</v>
      </c>
    </row>
    <row r="132" spans="1:9">
      <c r="A132" s="44" t="s">
        <v>517</v>
      </c>
      <c r="B132" s="44" t="s">
        <v>246</v>
      </c>
      <c r="C132" s="44">
        <v>3</v>
      </c>
      <c r="D132" s="44" t="s">
        <v>470</v>
      </c>
      <c r="E132" s="44" t="s">
        <v>230</v>
      </c>
      <c r="F132" s="44" t="s">
        <v>221</v>
      </c>
      <c r="G132" s="9">
        <f>'06_Raw_Quarterly_Performance'!E13</f>
        <v>4377</v>
      </c>
      <c r="H132" s="62" t="s">
        <v>518</v>
      </c>
      <c r="I132" s="62" t="s">
        <v>498</v>
      </c>
    </row>
    <row r="133" spans="1:9">
      <c r="A133" s="44" t="s">
        <v>517</v>
      </c>
      <c r="B133" s="44" t="s">
        <v>247</v>
      </c>
      <c r="C133" s="44">
        <v>4</v>
      </c>
      <c r="D133" s="44" t="s">
        <v>470</v>
      </c>
      <c r="E133" s="44" t="s">
        <v>230</v>
      </c>
      <c r="F133" s="44" t="s">
        <v>221</v>
      </c>
      <c r="G133" s="9">
        <f>'06_Raw_Quarterly_Performance'!F13</f>
        <v>4128</v>
      </c>
      <c r="H133" s="62" t="s">
        <v>518</v>
      </c>
      <c r="I133" s="62" t="s">
        <v>575</v>
      </c>
    </row>
    <row r="134" spans="1:9">
      <c r="A134" s="44" t="s">
        <v>517</v>
      </c>
      <c r="B134" s="44" t="s">
        <v>248</v>
      </c>
      <c r="C134" s="44">
        <v>5</v>
      </c>
      <c r="D134" s="44" t="s">
        <v>470</v>
      </c>
      <c r="E134" s="44" t="s">
        <v>230</v>
      </c>
      <c r="F134" s="44" t="s">
        <v>221</v>
      </c>
      <c r="G134" s="9">
        <f>'06_Raw_Quarterly_Performance'!G13</f>
        <v>5011</v>
      </c>
      <c r="H134" s="62" t="s">
        <v>518</v>
      </c>
      <c r="I134" s="62" t="s">
        <v>576</v>
      </c>
    </row>
    <row r="135" spans="1:9">
      <c r="A135" s="44" t="s">
        <v>517</v>
      </c>
      <c r="B135" s="44" t="s">
        <v>249</v>
      </c>
      <c r="C135" s="44">
        <v>6</v>
      </c>
      <c r="D135" s="44" t="s">
        <v>470</v>
      </c>
      <c r="E135" s="44" t="s">
        <v>230</v>
      </c>
      <c r="F135" s="44" t="s">
        <v>221</v>
      </c>
      <c r="G135" s="9">
        <f>'06_Raw_Quarterly_Performance'!H13</f>
        <v>4274</v>
      </c>
      <c r="H135" s="62" t="s">
        <v>518</v>
      </c>
      <c r="I135" s="62" t="s">
        <v>577</v>
      </c>
    </row>
    <row r="136" spans="1:9">
      <c r="A136" s="44" t="s">
        <v>517</v>
      </c>
      <c r="B136" s="44" t="s">
        <v>250</v>
      </c>
      <c r="C136" s="44">
        <v>7</v>
      </c>
      <c r="D136" s="44" t="s">
        <v>470</v>
      </c>
      <c r="E136" s="44" t="s">
        <v>230</v>
      </c>
      <c r="F136" s="44" t="s">
        <v>221</v>
      </c>
      <c r="G136" s="9">
        <f>'06_Raw_Quarterly_Performance'!I13</f>
        <v>5290</v>
      </c>
      <c r="H136" s="62" t="s">
        <v>518</v>
      </c>
      <c r="I136" s="62" t="s">
        <v>578</v>
      </c>
    </row>
    <row r="137" spans="1:9">
      <c r="A137" s="44" t="s">
        <v>517</v>
      </c>
      <c r="B137" s="44" t="s">
        <v>251</v>
      </c>
      <c r="C137" s="44">
        <v>8</v>
      </c>
      <c r="D137" s="44" t="s">
        <v>470</v>
      </c>
      <c r="E137" s="44" t="s">
        <v>230</v>
      </c>
      <c r="F137" s="44" t="s">
        <v>221</v>
      </c>
      <c r="G137" s="9">
        <f>'06_Raw_Quarterly_Performance'!J13</f>
        <v>5293</v>
      </c>
      <c r="H137" s="62" t="s">
        <v>518</v>
      </c>
      <c r="I137" s="62" t="s">
        <v>579</v>
      </c>
    </row>
    <row r="138" spans="1:9">
      <c r="A138" s="44" t="s">
        <v>517</v>
      </c>
      <c r="B138" s="44" t="s">
        <v>252</v>
      </c>
      <c r="C138" s="44">
        <v>9</v>
      </c>
      <c r="D138" s="44" t="s">
        <v>470</v>
      </c>
      <c r="E138" s="44" t="s">
        <v>230</v>
      </c>
      <c r="F138" s="44" t="s">
        <v>221</v>
      </c>
      <c r="G138" s="9">
        <f>'06_Raw_Quarterly_Performance'!K13</f>
        <v>5643</v>
      </c>
      <c r="H138" s="62" t="s">
        <v>518</v>
      </c>
      <c r="I138" s="62" t="s">
        <v>580</v>
      </c>
    </row>
    <row r="139" spans="1:9">
      <c r="A139" s="44" t="s">
        <v>517</v>
      </c>
      <c r="B139" s="44" t="s">
        <v>123</v>
      </c>
      <c r="C139" s="44">
        <v>10</v>
      </c>
      <c r="D139" s="44" t="s">
        <v>470</v>
      </c>
      <c r="E139" s="44" t="s">
        <v>230</v>
      </c>
      <c r="F139" s="44" t="s">
        <v>221</v>
      </c>
      <c r="G139" s="9">
        <f>'06_Raw_Quarterly_Performance'!L13</f>
        <v>5372</v>
      </c>
      <c r="H139" s="62" t="s">
        <v>518</v>
      </c>
      <c r="I139" s="62" t="s">
        <v>581</v>
      </c>
    </row>
    <row r="140" spans="1:9">
      <c r="A140" s="44" t="s">
        <v>517</v>
      </c>
      <c r="B140" s="44" t="s">
        <v>244</v>
      </c>
      <c r="C140" s="44">
        <v>1</v>
      </c>
      <c r="D140" s="44" t="s">
        <v>470</v>
      </c>
      <c r="E140" s="44" t="s">
        <v>231</v>
      </c>
      <c r="F140" s="44" t="s">
        <v>232</v>
      </c>
      <c r="G140" s="13">
        <f>'06_Raw_Quarterly_Performance'!C14</f>
        <v>2.5</v>
      </c>
      <c r="H140" s="62" t="s">
        <v>518</v>
      </c>
      <c r="I140" s="62" t="s">
        <v>499</v>
      </c>
    </row>
    <row r="141" spans="1:9">
      <c r="A141" s="44" t="s">
        <v>517</v>
      </c>
      <c r="B141" s="44" t="s">
        <v>245</v>
      </c>
      <c r="C141" s="44">
        <v>2</v>
      </c>
      <c r="D141" s="44" t="s">
        <v>470</v>
      </c>
      <c r="E141" s="44" t="s">
        <v>231</v>
      </c>
      <c r="F141" s="44" t="s">
        <v>232</v>
      </c>
      <c r="G141" s="13">
        <f>'06_Raw_Quarterly_Performance'!D14</f>
        <v>2.74</v>
      </c>
      <c r="H141" s="62" t="s">
        <v>518</v>
      </c>
      <c r="I141" s="62" t="s">
        <v>500</v>
      </c>
    </row>
    <row r="142" spans="1:9">
      <c r="A142" s="44" t="s">
        <v>517</v>
      </c>
      <c r="B142" s="44" t="s">
        <v>246</v>
      </c>
      <c r="C142" s="44">
        <v>3</v>
      </c>
      <c r="D142" s="44" t="s">
        <v>470</v>
      </c>
      <c r="E142" s="44" t="s">
        <v>231</v>
      </c>
      <c r="F142" s="44" t="s">
        <v>232</v>
      </c>
      <c r="G142" s="13">
        <f>'06_Raw_Quarterly_Performance'!E14</f>
        <v>3.09</v>
      </c>
      <c r="H142" s="62" t="s">
        <v>518</v>
      </c>
      <c r="I142" s="62" t="s">
        <v>501</v>
      </c>
    </row>
    <row r="143" spans="1:9">
      <c r="A143" s="44" t="s">
        <v>517</v>
      </c>
      <c r="B143" s="44" t="s">
        <v>247</v>
      </c>
      <c r="C143" s="44">
        <v>4</v>
      </c>
      <c r="D143" s="44" t="s">
        <v>470</v>
      </c>
      <c r="E143" s="44" t="s">
        <v>231</v>
      </c>
      <c r="F143" s="44" t="s">
        <v>232</v>
      </c>
      <c r="G143" s="13">
        <f>'06_Raw_Quarterly_Performance'!F14</f>
        <v>2.91</v>
      </c>
      <c r="H143" s="62" t="s">
        <v>518</v>
      </c>
      <c r="I143" s="62" t="s">
        <v>582</v>
      </c>
    </row>
    <row r="144" spans="1:9">
      <c r="A144" s="44" t="s">
        <v>517</v>
      </c>
      <c r="B144" s="44" t="s">
        <v>248</v>
      </c>
      <c r="C144" s="44">
        <v>5</v>
      </c>
      <c r="D144" s="44" t="s">
        <v>470</v>
      </c>
      <c r="E144" s="44" t="s">
        <v>231</v>
      </c>
      <c r="F144" s="44" t="s">
        <v>232</v>
      </c>
      <c r="G144" s="13">
        <f>'06_Raw_Quarterly_Performance'!G14</f>
        <v>3.54</v>
      </c>
      <c r="H144" s="62" t="s">
        <v>518</v>
      </c>
      <c r="I144" s="62" t="s">
        <v>583</v>
      </c>
    </row>
    <row r="145" spans="1:9">
      <c r="A145" s="44" t="s">
        <v>517</v>
      </c>
      <c r="B145" s="44" t="s">
        <v>249</v>
      </c>
      <c r="C145" s="44">
        <v>6</v>
      </c>
      <c r="D145" s="44" t="s">
        <v>470</v>
      </c>
      <c r="E145" s="44" t="s">
        <v>231</v>
      </c>
      <c r="F145" s="44" t="s">
        <v>232</v>
      </c>
      <c r="G145" s="13">
        <f>'06_Raw_Quarterly_Performance'!H14</f>
        <v>3.02</v>
      </c>
      <c r="H145" s="62" t="s">
        <v>518</v>
      </c>
      <c r="I145" s="62" t="s">
        <v>584</v>
      </c>
    </row>
    <row r="146" spans="1:9">
      <c r="A146" s="44" t="s">
        <v>517</v>
      </c>
      <c r="B146" s="44" t="s">
        <v>250</v>
      </c>
      <c r="C146" s="44">
        <v>7</v>
      </c>
      <c r="D146" s="44" t="s">
        <v>470</v>
      </c>
      <c r="E146" s="44" t="s">
        <v>231</v>
      </c>
      <c r="F146" s="44" t="s">
        <v>232</v>
      </c>
      <c r="G146" s="13">
        <f>'06_Raw_Quarterly_Performance'!I14</f>
        <v>3.75</v>
      </c>
      <c r="H146" s="62" t="s">
        <v>518</v>
      </c>
      <c r="I146" s="62" t="s">
        <v>585</v>
      </c>
    </row>
    <row r="147" spans="1:9">
      <c r="A147" s="44" t="s">
        <v>517</v>
      </c>
      <c r="B147" s="44" t="s">
        <v>251</v>
      </c>
      <c r="C147" s="44">
        <v>8</v>
      </c>
      <c r="D147" s="44" t="s">
        <v>470</v>
      </c>
      <c r="E147" s="44" t="s">
        <v>231</v>
      </c>
      <c r="F147" s="44" t="s">
        <v>232</v>
      </c>
      <c r="G147" s="13">
        <f>'06_Raw_Quarterly_Performance'!J14</f>
        <v>3.76</v>
      </c>
      <c r="H147" s="62" t="s">
        <v>518</v>
      </c>
      <c r="I147" s="62" t="s">
        <v>586</v>
      </c>
    </row>
    <row r="148" spans="1:9">
      <c r="A148" s="44" t="s">
        <v>517</v>
      </c>
      <c r="B148" s="44" t="s">
        <v>252</v>
      </c>
      <c r="C148" s="44">
        <v>9</v>
      </c>
      <c r="D148" s="44" t="s">
        <v>470</v>
      </c>
      <c r="E148" s="44" t="s">
        <v>231</v>
      </c>
      <c r="F148" s="44" t="s">
        <v>232</v>
      </c>
      <c r="G148" s="13">
        <f>'06_Raw_Quarterly_Performance'!K14</f>
        <v>4.03</v>
      </c>
      <c r="H148" s="62" t="s">
        <v>518</v>
      </c>
      <c r="I148" s="62" t="s">
        <v>587</v>
      </c>
    </row>
    <row r="149" spans="1:9">
      <c r="A149" s="44" t="s">
        <v>517</v>
      </c>
      <c r="B149" s="44" t="s">
        <v>123</v>
      </c>
      <c r="C149" s="44">
        <v>10</v>
      </c>
      <c r="D149" s="44" t="s">
        <v>470</v>
      </c>
      <c r="E149" s="44" t="s">
        <v>231</v>
      </c>
      <c r="F149" s="44" t="s">
        <v>232</v>
      </c>
      <c r="G149" s="13">
        <f>'06_Raw_Quarterly_Performance'!L14</f>
        <v>3.85</v>
      </c>
      <c r="H149" s="62" t="s">
        <v>518</v>
      </c>
      <c r="I149" s="62" t="s">
        <v>588</v>
      </c>
    </row>
    <row r="150" spans="1:9">
      <c r="A150" s="44" t="s">
        <v>517</v>
      </c>
      <c r="B150" s="44" t="s">
        <v>244</v>
      </c>
      <c r="C150" s="44">
        <v>1</v>
      </c>
      <c r="D150" s="44" t="s">
        <v>470</v>
      </c>
      <c r="E150" s="44" t="s">
        <v>183</v>
      </c>
      <c r="F150" s="44" t="s">
        <v>235</v>
      </c>
      <c r="G150" s="15">
        <f>'06_Raw_Quarterly_Performance'!C15</f>
        <v>0.13100000000000001</v>
      </c>
      <c r="H150" s="62" t="s">
        <v>518</v>
      </c>
      <c r="I150" s="62" t="s">
        <v>502</v>
      </c>
    </row>
    <row r="151" spans="1:9">
      <c r="A151" s="44" t="s">
        <v>517</v>
      </c>
      <c r="B151" s="44" t="s">
        <v>245</v>
      </c>
      <c r="C151" s="44">
        <v>2</v>
      </c>
      <c r="D151" s="44" t="s">
        <v>470</v>
      </c>
      <c r="E151" s="44" t="s">
        <v>183</v>
      </c>
      <c r="F151" s="44" t="s">
        <v>235</v>
      </c>
      <c r="G151" s="15">
        <f>'06_Raw_Quarterly_Performance'!D15</f>
        <v>0.14499999999999999</v>
      </c>
      <c r="H151" s="62" t="s">
        <v>518</v>
      </c>
      <c r="I151" s="62" t="s">
        <v>503</v>
      </c>
    </row>
    <row r="152" spans="1:9">
      <c r="A152" s="44" t="s">
        <v>517</v>
      </c>
      <c r="B152" s="44" t="s">
        <v>246</v>
      </c>
      <c r="C152" s="44">
        <v>3</v>
      </c>
      <c r="D152" s="44" t="s">
        <v>470</v>
      </c>
      <c r="E152" s="44" t="s">
        <v>183</v>
      </c>
      <c r="F152" s="44" t="s">
        <v>235</v>
      </c>
      <c r="G152" s="15">
        <f>'06_Raw_Quarterly_Performance'!E15</f>
        <v>0.155</v>
      </c>
      <c r="H152" s="62" t="s">
        <v>518</v>
      </c>
      <c r="I152" s="62" t="s">
        <v>504</v>
      </c>
    </row>
    <row r="153" spans="1:9">
      <c r="A153" s="44" t="s">
        <v>517</v>
      </c>
      <c r="B153" s="44" t="s">
        <v>247</v>
      </c>
      <c r="C153" s="44">
        <v>4</v>
      </c>
      <c r="D153" s="44" t="s">
        <v>470</v>
      </c>
      <c r="E153" s="44" t="s">
        <v>183</v>
      </c>
      <c r="F153" s="44" t="s">
        <v>235</v>
      </c>
      <c r="G153" s="15">
        <f>'06_Raw_Quarterly_Performance'!F15</f>
        <v>0.14299999999999999</v>
      </c>
      <c r="H153" s="62" t="s">
        <v>518</v>
      </c>
      <c r="I153" s="62" t="s">
        <v>589</v>
      </c>
    </row>
    <row r="154" spans="1:9">
      <c r="A154" s="44" t="s">
        <v>517</v>
      </c>
      <c r="B154" s="44" t="s">
        <v>248</v>
      </c>
      <c r="C154" s="44">
        <v>5</v>
      </c>
      <c r="D154" s="44" t="s">
        <v>470</v>
      </c>
      <c r="E154" s="44" t="s">
        <v>183</v>
      </c>
      <c r="F154" s="44" t="s">
        <v>235</v>
      </c>
      <c r="G154" s="15">
        <f>'06_Raw_Quarterly_Performance'!G15</f>
        <v>0.16800000000000001</v>
      </c>
      <c r="H154" s="62" t="s">
        <v>518</v>
      </c>
      <c r="I154" s="62" t="s">
        <v>590</v>
      </c>
    </row>
    <row r="155" spans="1:9">
      <c r="A155" s="44" t="s">
        <v>517</v>
      </c>
      <c r="B155" s="44" t="s">
        <v>249</v>
      </c>
      <c r="C155" s="44">
        <v>6</v>
      </c>
      <c r="D155" s="44" t="s">
        <v>470</v>
      </c>
      <c r="E155" s="44" t="s">
        <v>183</v>
      </c>
      <c r="F155" s="44" t="s">
        <v>235</v>
      </c>
      <c r="G155" s="15">
        <f>'06_Raw_Quarterly_Performance'!H15</f>
        <v>0.14199999999999999</v>
      </c>
      <c r="H155" s="62" t="s">
        <v>518</v>
      </c>
      <c r="I155" s="62" t="s">
        <v>591</v>
      </c>
    </row>
    <row r="156" spans="1:9">
      <c r="A156" s="44" t="s">
        <v>517</v>
      </c>
      <c r="B156" s="44" t="s">
        <v>250</v>
      </c>
      <c r="C156" s="44">
        <v>7</v>
      </c>
      <c r="D156" s="44" t="s">
        <v>470</v>
      </c>
      <c r="E156" s="44" t="s">
        <v>183</v>
      </c>
      <c r="F156" s="44" t="s">
        <v>235</v>
      </c>
      <c r="G156" s="15">
        <f>'06_Raw_Quarterly_Performance'!I15</f>
        <v>0.17299999999999999</v>
      </c>
      <c r="H156" s="62" t="s">
        <v>518</v>
      </c>
      <c r="I156" s="62" t="s">
        <v>592</v>
      </c>
    </row>
    <row r="157" spans="1:9">
      <c r="A157" s="44" t="s">
        <v>517</v>
      </c>
      <c r="B157" s="44" t="s">
        <v>251</v>
      </c>
      <c r="C157" s="44">
        <v>8</v>
      </c>
      <c r="D157" s="44" t="s">
        <v>470</v>
      </c>
      <c r="E157" s="44" t="s">
        <v>183</v>
      </c>
      <c r="F157" s="44" t="s">
        <v>235</v>
      </c>
      <c r="G157" s="15">
        <f>'06_Raw_Quarterly_Performance'!J15</f>
        <v>0.16800000000000001</v>
      </c>
      <c r="H157" s="62" t="s">
        <v>518</v>
      </c>
      <c r="I157" s="62" t="s">
        <v>593</v>
      </c>
    </row>
    <row r="158" spans="1:9">
      <c r="A158" s="44" t="s">
        <v>517</v>
      </c>
      <c r="B158" s="44" t="s">
        <v>252</v>
      </c>
      <c r="C158" s="44">
        <v>9</v>
      </c>
      <c r="D158" s="44" t="s">
        <v>470</v>
      </c>
      <c r="E158" s="44" t="s">
        <v>183</v>
      </c>
      <c r="F158" s="44" t="s">
        <v>235</v>
      </c>
      <c r="G158" s="15">
        <f>'06_Raw_Quarterly_Performance'!K15</f>
        <v>0.17599999999999999</v>
      </c>
      <c r="H158" s="62" t="s">
        <v>518</v>
      </c>
      <c r="I158" s="62" t="s">
        <v>594</v>
      </c>
    </row>
    <row r="159" spans="1:9">
      <c r="A159" s="44" t="s">
        <v>517</v>
      </c>
      <c r="B159" s="44" t="s">
        <v>123</v>
      </c>
      <c r="C159" s="44">
        <v>10</v>
      </c>
      <c r="D159" s="44" t="s">
        <v>470</v>
      </c>
      <c r="E159" s="44" t="s">
        <v>183</v>
      </c>
      <c r="F159" s="44" t="s">
        <v>235</v>
      </c>
      <c r="G159" s="15">
        <f>'06_Raw_Quarterly_Performance'!L15</f>
        <v>0.17199999999999999</v>
      </c>
      <c r="H159" s="62" t="s">
        <v>518</v>
      </c>
      <c r="I159" s="62" t="s">
        <v>595</v>
      </c>
    </row>
    <row r="160" spans="1:9">
      <c r="A160" s="44" t="s">
        <v>517</v>
      </c>
      <c r="B160" s="44" t="s">
        <v>244</v>
      </c>
      <c r="C160" s="44">
        <v>1</v>
      </c>
      <c r="D160" s="44" t="s">
        <v>470</v>
      </c>
      <c r="E160" s="44" t="s">
        <v>186</v>
      </c>
      <c r="F160" s="44" t="s">
        <v>235</v>
      </c>
      <c r="G160" s="15">
        <f>'06_Raw_Quarterly_Performance'!C16</f>
        <v>0.61699999999999999</v>
      </c>
      <c r="H160" s="62" t="s">
        <v>518</v>
      </c>
      <c r="I160" s="62" t="s">
        <v>505</v>
      </c>
    </row>
    <row r="161" spans="1:9">
      <c r="A161" s="44" t="s">
        <v>517</v>
      </c>
      <c r="B161" s="44" t="s">
        <v>245</v>
      </c>
      <c r="C161" s="44">
        <v>2</v>
      </c>
      <c r="D161" s="44" t="s">
        <v>470</v>
      </c>
      <c r="E161" s="44" t="s">
        <v>186</v>
      </c>
      <c r="F161" s="44" t="s">
        <v>235</v>
      </c>
      <c r="G161" s="15">
        <f>'06_Raw_Quarterly_Performance'!D16</f>
        <v>0.58699999999999997</v>
      </c>
      <c r="H161" s="62" t="s">
        <v>518</v>
      </c>
      <c r="I161" s="62" t="s">
        <v>506</v>
      </c>
    </row>
    <row r="162" spans="1:9">
      <c r="A162" s="44" t="s">
        <v>517</v>
      </c>
      <c r="B162" s="44" t="s">
        <v>246</v>
      </c>
      <c r="C162" s="44">
        <v>3</v>
      </c>
      <c r="D162" s="44" t="s">
        <v>470</v>
      </c>
      <c r="E162" s="44" t="s">
        <v>186</v>
      </c>
      <c r="F162" s="44" t="s">
        <v>235</v>
      </c>
      <c r="G162" s="15">
        <f>'06_Raw_Quarterly_Performance'!E16</f>
        <v>0.58799999999999997</v>
      </c>
      <c r="H162" s="62" t="s">
        <v>518</v>
      </c>
      <c r="I162" s="62" t="s">
        <v>507</v>
      </c>
    </row>
    <row r="163" spans="1:9">
      <c r="A163" s="44" t="s">
        <v>517</v>
      </c>
      <c r="B163" s="44" t="s">
        <v>247</v>
      </c>
      <c r="C163" s="44">
        <v>4</v>
      </c>
      <c r="D163" s="44" t="s">
        <v>470</v>
      </c>
      <c r="E163" s="44" t="s">
        <v>186</v>
      </c>
      <c r="F163" s="44" t="s">
        <v>235</v>
      </c>
      <c r="G163" s="15">
        <f>'06_Raw_Quarterly_Performance'!F16</f>
        <v>0.59799999999999998</v>
      </c>
      <c r="H163" s="62" t="s">
        <v>518</v>
      </c>
      <c r="I163" s="62" t="s">
        <v>596</v>
      </c>
    </row>
    <row r="164" spans="1:9">
      <c r="A164" s="44" t="s">
        <v>517</v>
      </c>
      <c r="B164" s="44" t="s">
        <v>248</v>
      </c>
      <c r="C164" s="44">
        <v>5</v>
      </c>
      <c r="D164" s="44" t="s">
        <v>470</v>
      </c>
      <c r="E164" s="44" t="s">
        <v>186</v>
      </c>
      <c r="F164" s="44" t="s">
        <v>235</v>
      </c>
      <c r="G164" s="15">
        <f>'06_Raw_Quarterly_Performance'!G16</f>
        <v>0.55300000000000005</v>
      </c>
      <c r="H164" s="62" t="s">
        <v>518</v>
      </c>
      <c r="I164" s="62" t="s">
        <v>597</v>
      </c>
    </row>
    <row r="165" spans="1:9">
      <c r="A165" s="44" t="s">
        <v>517</v>
      </c>
      <c r="B165" s="44" t="s">
        <v>249</v>
      </c>
      <c r="C165" s="44">
        <v>6</v>
      </c>
      <c r="D165" s="44" t="s">
        <v>470</v>
      </c>
      <c r="E165" s="44" t="s">
        <v>186</v>
      </c>
      <c r="F165" s="44" t="s">
        <v>235</v>
      </c>
      <c r="G165" s="15">
        <f>'06_Raw_Quarterly_Performance'!H16</f>
        <v>0.55700000000000005</v>
      </c>
      <c r="H165" s="62" t="s">
        <v>518</v>
      </c>
      <c r="I165" s="62" t="s">
        <v>598</v>
      </c>
    </row>
    <row r="166" spans="1:9">
      <c r="A166" s="44" t="s">
        <v>517</v>
      </c>
      <c r="B166" s="44" t="s">
        <v>250</v>
      </c>
      <c r="C166" s="44">
        <v>7</v>
      </c>
      <c r="D166" s="44" t="s">
        <v>470</v>
      </c>
      <c r="E166" s="44" t="s">
        <v>186</v>
      </c>
      <c r="F166" s="44" t="s">
        <v>235</v>
      </c>
      <c r="G166" s="15">
        <f>'06_Raw_Quarterly_Performance'!I16</f>
        <v>0.54400000000000004</v>
      </c>
      <c r="H166" s="62" t="s">
        <v>518</v>
      </c>
      <c r="I166" s="62" t="s">
        <v>599</v>
      </c>
    </row>
    <row r="167" spans="1:9">
      <c r="A167" s="44" t="s">
        <v>517</v>
      </c>
      <c r="B167" s="44" t="s">
        <v>251</v>
      </c>
      <c r="C167" s="44">
        <v>8</v>
      </c>
      <c r="D167" s="44" t="s">
        <v>470</v>
      </c>
      <c r="E167" s="44" t="s">
        <v>186</v>
      </c>
      <c r="F167" s="44" t="s">
        <v>235</v>
      </c>
      <c r="G167" s="15">
        <f>'06_Raw_Quarterly_Performance'!J16</f>
        <v>0.54500000000000004</v>
      </c>
      <c r="H167" s="62" t="s">
        <v>518</v>
      </c>
      <c r="I167" s="62" t="s">
        <v>600</v>
      </c>
    </row>
    <row r="168" spans="1:9">
      <c r="A168" s="44" t="s">
        <v>517</v>
      </c>
      <c r="B168" s="44" t="s">
        <v>252</v>
      </c>
      <c r="C168" s="44">
        <v>9</v>
      </c>
      <c r="D168" s="44" t="s">
        <v>470</v>
      </c>
      <c r="E168" s="44" t="s">
        <v>186</v>
      </c>
      <c r="F168" s="44" t="s">
        <v>235</v>
      </c>
      <c r="G168" s="15">
        <f>'06_Raw_Quarterly_Performance'!K16</f>
        <v>0.52700000000000002</v>
      </c>
      <c r="H168" s="62" t="s">
        <v>518</v>
      </c>
      <c r="I168" s="62" t="s">
        <v>601</v>
      </c>
    </row>
    <row r="169" spans="1:9">
      <c r="A169" s="44" t="s">
        <v>517</v>
      </c>
      <c r="B169" s="44" t="s">
        <v>123</v>
      </c>
      <c r="C169" s="44">
        <v>10</v>
      </c>
      <c r="D169" s="44" t="s">
        <v>470</v>
      </c>
      <c r="E169" s="44" t="s">
        <v>186</v>
      </c>
      <c r="F169" s="44" t="s">
        <v>235</v>
      </c>
      <c r="G169" s="15">
        <f>'06_Raw_Quarterly_Performance'!L16</f>
        <v>0.54100000000000004</v>
      </c>
      <c r="H169" s="62" t="s">
        <v>518</v>
      </c>
      <c r="I169" s="62" t="s">
        <v>602</v>
      </c>
    </row>
    <row r="170" spans="1:9">
      <c r="A170" s="44" t="s">
        <v>517</v>
      </c>
      <c r="B170" s="44" t="s">
        <v>244</v>
      </c>
      <c r="C170" s="44">
        <v>1</v>
      </c>
      <c r="D170" s="44" t="s">
        <v>470</v>
      </c>
      <c r="E170" s="44" t="s">
        <v>189</v>
      </c>
      <c r="F170" s="44" t="s">
        <v>235</v>
      </c>
      <c r="G170" s="15">
        <f>'06_Raw_Quarterly_Performance'!C17</f>
        <v>-8.6999999999999994E-2</v>
      </c>
      <c r="H170" s="62" t="s">
        <v>518</v>
      </c>
      <c r="I170" s="62" t="s">
        <v>508</v>
      </c>
    </row>
    <row r="171" spans="1:9">
      <c r="A171" s="44" t="s">
        <v>517</v>
      </c>
      <c r="B171" s="44" t="s">
        <v>245</v>
      </c>
      <c r="C171" s="44">
        <v>2</v>
      </c>
      <c r="D171" s="44" t="s">
        <v>470</v>
      </c>
      <c r="E171" s="44" t="s">
        <v>189</v>
      </c>
      <c r="F171" s="44" t="s">
        <v>235</v>
      </c>
      <c r="G171" s="15">
        <f>'06_Raw_Quarterly_Performance'!D17</f>
        <v>1.4E-2</v>
      </c>
      <c r="H171" s="62" t="s">
        <v>518</v>
      </c>
      <c r="I171" s="62" t="s">
        <v>509</v>
      </c>
    </row>
    <row r="172" spans="1:9">
      <c r="A172" s="44" t="s">
        <v>517</v>
      </c>
      <c r="B172" s="44" t="s">
        <v>246</v>
      </c>
      <c r="C172" s="44">
        <v>3</v>
      </c>
      <c r="D172" s="44" t="s">
        <v>470</v>
      </c>
      <c r="E172" s="44" t="s">
        <v>189</v>
      </c>
      <c r="F172" s="44" t="s">
        <v>235</v>
      </c>
      <c r="G172" s="15">
        <f>'06_Raw_Quarterly_Performance'!E17</f>
        <v>0.02</v>
      </c>
      <c r="H172" s="62" t="s">
        <v>518</v>
      </c>
      <c r="I172" s="62" t="s">
        <v>510</v>
      </c>
    </row>
    <row r="173" spans="1:9">
      <c r="A173" s="44" t="s">
        <v>517</v>
      </c>
      <c r="B173" s="44" t="s">
        <v>247</v>
      </c>
      <c r="C173" s="44">
        <v>4</v>
      </c>
      <c r="D173" s="44" t="s">
        <v>470</v>
      </c>
      <c r="E173" s="44" t="s">
        <v>189</v>
      </c>
      <c r="F173" s="44" t="s">
        <v>235</v>
      </c>
      <c r="G173" s="15">
        <f>'06_Raw_Quarterly_Performance'!F17</f>
        <v>6.9000000000000006E-2</v>
      </c>
      <c r="H173" s="62" t="s">
        <v>518</v>
      </c>
      <c r="I173" s="62" t="s">
        <v>603</v>
      </c>
    </row>
    <row r="174" spans="1:9">
      <c r="A174" s="44" t="s">
        <v>517</v>
      </c>
      <c r="B174" s="44" t="s">
        <v>248</v>
      </c>
      <c r="C174" s="44">
        <v>5</v>
      </c>
      <c r="D174" s="44" t="s">
        <v>470</v>
      </c>
      <c r="E174" s="44" t="s">
        <v>189</v>
      </c>
      <c r="F174" s="44" t="s">
        <v>235</v>
      </c>
      <c r="G174" s="15">
        <f>'06_Raw_Quarterly_Performance'!G17</f>
        <v>0.129</v>
      </c>
      <c r="H174" s="62" t="s">
        <v>518</v>
      </c>
      <c r="I174" s="62" t="s">
        <v>604</v>
      </c>
    </row>
    <row r="175" spans="1:9">
      <c r="A175" s="44" t="s">
        <v>517</v>
      </c>
      <c r="B175" s="44" t="s">
        <v>249</v>
      </c>
      <c r="C175" s="44">
        <v>6</v>
      </c>
      <c r="D175" s="44" t="s">
        <v>470</v>
      </c>
      <c r="E175" s="44" t="s">
        <v>189</v>
      </c>
      <c r="F175" s="44" t="s">
        <v>235</v>
      </c>
      <c r="G175" s="15">
        <f>'06_Raw_Quarterly_Performance'!H17</f>
        <v>5.6000000000000001E-2</v>
      </c>
      <c r="H175" s="62" t="s">
        <v>518</v>
      </c>
      <c r="I175" s="62" t="s">
        <v>605</v>
      </c>
    </row>
    <row r="176" spans="1:9">
      <c r="A176" s="44" t="s">
        <v>517</v>
      </c>
      <c r="B176" s="44" t="s">
        <v>250</v>
      </c>
      <c r="C176" s="44">
        <v>7</v>
      </c>
      <c r="D176" s="44" t="s">
        <v>470</v>
      </c>
      <c r="E176" s="44" t="s">
        <v>189</v>
      </c>
      <c r="F176" s="44" t="s">
        <v>235</v>
      </c>
      <c r="G176" s="15">
        <f>'06_Raw_Quarterly_Performance'!I17</f>
        <v>8.6999999999999994E-2</v>
      </c>
      <c r="H176" s="62" t="s">
        <v>518</v>
      </c>
      <c r="I176" s="62" t="s">
        <v>606</v>
      </c>
    </row>
    <row r="177" spans="1:9">
      <c r="A177" s="44" t="s">
        <v>517</v>
      </c>
      <c r="B177" s="44" t="s">
        <v>251</v>
      </c>
      <c r="C177" s="44">
        <v>8</v>
      </c>
      <c r="D177" s="44" t="s">
        <v>470</v>
      </c>
      <c r="E177" s="44" t="s">
        <v>189</v>
      </c>
      <c r="F177" s="44" t="s">
        <v>235</v>
      </c>
      <c r="G177" s="15">
        <f>'06_Raw_Quarterly_Performance'!J17</f>
        <v>0.10299999999999999</v>
      </c>
      <c r="H177" s="62" t="s">
        <v>518</v>
      </c>
      <c r="I177" s="62" t="s">
        <v>607</v>
      </c>
    </row>
    <row r="178" spans="1:9">
      <c r="A178" s="44" t="s">
        <v>517</v>
      </c>
      <c r="B178" s="44" t="s">
        <v>252</v>
      </c>
      <c r="C178" s="44">
        <v>9</v>
      </c>
      <c r="D178" s="44" t="s">
        <v>470</v>
      </c>
      <c r="E178" s="44" t="s">
        <v>189</v>
      </c>
      <c r="F178" s="44" t="s">
        <v>235</v>
      </c>
      <c r="G178" s="15">
        <f>'06_Raw_Quarterly_Performance'!K17</f>
        <v>5.0999999999999997E-2</v>
      </c>
      <c r="H178" s="62" t="s">
        <v>518</v>
      </c>
      <c r="I178" s="62" t="s">
        <v>608</v>
      </c>
    </row>
    <row r="179" spans="1:9">
      <c r="A179" s="44" t="s">
        <v>517</v>
      </c>
      <c r="B179" s="44" t="s">
        <v>123</v>
      </c>
      <c r="C179" s="44">
        <v>10</v>
      </c>
      <c r="D179" s="44" t="s">
        <v>470</v>
      </c>
      <c r="E179" s="44" t="s">
        <v>189</v>
      </c>
      <c r="F179" s="44" t="s">
        <v>235</v>
      </c>
      <c r="G179" s="15">
        <f>'06_Raw_Quarterly_Performance'!L17</f>
        <v>3.3000000000000002E-2</v>
      </c>
      <c r="H179" s="62" t="s">
        <v>518</v>
      </c>
      <c r="I179" s="62" t="s">
        <v>609</v>
      </c>
    </row>
    <row r="180" spans="1:9">
      <c r="A180" s="44" t="s">
        <v>517</v>
      </c>
      <c r="B180" s="44" t="s">
        <v>244</v>
      </c>
      <c r="C180" s="44">
        <v>1</v>
      </c>
      <c r="D180" s="44" t="s">
        <v>470</v>
      </c>
      <c r="E180" s="44" t="s">
        <v>237</v>
      </c>
      <c r="F180" s="44" t="s">
        <v>221</v>
      </c>
      <c r="G180" s="9">
        <f>'06_Raw_Quarterly_Performance'!C18</f>
        <v>5161</v>
      </c>
      <c r="H180" s="62" t="s">
        <v>518</v>
      </c>
      <c r="I180" s="62" t="s">
        <v>511</v>
      </c>
    </row>
    <row r="181" spans="1:9">
      <c r="A181" s="44" t="s">
        <v>517</v>
      </c>
      <c r="B181" s="44" t="s">
        <v>245</v>
      </c>
      <c r="C181" s="44">
        <v>2</v>
      </c>
      <c r="D181" s="44" t="s">
        <v>470</v>
      </c>
      <c r="E181" s="44" t="s">
        <v>237</v>
      </c>
      <c r="F181" s="44" t="s">
        <v>221</v>
      </c>
      <c r="G181" s="9">
        <f>'06_Raw_Quarterly_Performance'!D18</f>
        <v>5846</v>
      </c>
      <c r="H181" s="62" t="s">
        <v>518</v>
      </c>
      <c r="I181" s="62" t="s">
        <v>512</v>
      </c>
    </row>
    <row r="182" spans="1:9">
      <c r="A182" s="44" t="s">
        <v>517</v>
      </c>
      <c r="B182" s="44" t="s">
        <v>246</v>
      </c>
      <c r="C182" s="44">
        <v>3</v>
      </c>
      <c r="D182" s="44" t="s">
        <v>470</v>
      </c>
      <c r="E182" s="44" t="s">
        <v>237</v>
      </c>
      <c r="F182" s="44" t="s">
        <v>221</v>
      </c>
      <c r="G182" s="9">
        <f>'06_Raw_Quarterly_Performance'!E18</f>
        <v>6032</v>
      </c>
      <c r="H182" s="62" t="s">
        <v>518</v>
      </c>
      <c r="I182" s="62" t="s">
        <v>513</v>
      </c>
    </row>
    <row r="183" spans="1:9">
      <c r="A183" s="44" t="s">
        <v>517</v>
      </c>
      <c r="B183" s="44" t="s">
        <v>247</v>
      </c>
      <c r="C183" s="44">
        <v>4</v>
      </c>
      <c r="D183" s="44" t="s">
        <v>470</v>
      </c>
      <c r="E183" s="44" t="s">
        <v>237</v>
      </c>
      <c r="F183" s="44" t="s">
        <v>221</v>
      </c>
      <c r="G183" s="9">
        <f>'06_Raw_Quarterly_Performance'!F18</f>
        <v>6055</v>
      </c>
      <c r="H183" s="62" t="s">
        <v>518</v>
      </c>
      <c r="I183" s="62" t="s">
        <v>610</v>
      </c>
    </row>
    <row r="184" spans="1:9">
      <c r="A184" s="44" t="s">
        <v>517</v>
      </c>
      <c r="B184" s="44" t="s">
        <v>248</v>
      </c>
      <c r="C184" s="44">
        <v>5</v>
      </c>
      <c r="D184" s="44" t="s">
        <v>470</v>
      </c>
      <c r="E184" s="44" t="s">
        <v>237</v>
      </c>
      <c r="F184" s="44" t="s">
        <v>221</v>
      </c>
      <c r="G184" s="9">
        <f>'06_Raw_Quarterly_Performance'!G18</f>
        <v>7483</v>
      </c>
      <c r="H184" s="62" t="s">
        <v>518</v>
      </c>
      <c r="I184" s="62" t="s">
        <v>611</v>
      </c>
    </row>
    <row r="185" spans="1:9">
      <c r="A185" s="44" t="s">
        <v>517</v>
      </c>
      <c r="B185" s="44" t="s">
        <v>249</v>
      </c>
      <c r="C185" s="44">
        <v>6</v>
      </c>
      <c r="D185" s="44" t="s">
        <v>470</v>
      </c>
      <c r="E185" s="44" t="s">
        <v>237</v>
      </c>
      <c r="F185" s="44" t="s">
        <v>221</v>
      </c>
      <c r="G185" s="9">
        <f>'06_Raw_Quarterly_Performance'!H18</f>
        <v>6942</v>
      </c>
      <c r="H185" s="62" t="s">
        <v>518</v>
      </c>
      <c r="I185" s="62" t="s">
        <v>612</v>
      </c>
    </row>
    <row r="186" spans="1:9">
      <c r="A186" s="44" t="s">
        <v>517</v>
      </c>
      <c r="B186" s="44" t="s">
        <v>250</v>
      </c>
      <c r="C186" s="44">
        <v>7</v>
      </c>
      <c r="D186" s="44" t="s">
        <v>470</v>
      </c>
      <c r="E186" s="44" t="s">
        <v>237</v>
      </c>
      <c r="F186" s="44" t="s">
        <v>221</v>
      </c>
      <c r="G186" s="9">
        <f>'06_Raw_Quarterly_Performance'!I18</f>
        <v>7753</v>
      </c>
      <c r="H186" s="62" t="s">
        <v>518</v>
      </c>
      <c r="I186" s="62" t="s">
        <v>613</v>
      </c>
    </row>
    <row r="187" spans="1:9">
      <c r="A187" s="44" t="s">
        <v>517</v>
      </c>
      <c r="B187" s="44" t="s">
        <v>251</v>
      </c>
      <c r="C187" s="44">
        <v>8</v>
      </c>
      <c r="D187" s="44" t="s">
        <v>470</v>
      </c>
      <c r="E187" s="44" t="s">
        <v>237</v>
      </c>
      <c r="F187" s="44" t="s">
        <v>221</v>
      </c>
      <c r="G187" s="9">
        <f>'06_Raw_Quarterly_Performance'!J18</f>
        <v>7835</v>
      </c>
      <c r="H187" s="62" t="s">
        <v>518</v>
      </c>
      <c r="I187" s="62" t="s">
        <v>614</v>
      </c>
    </row>
    <row r="188" spans="1:9">
      <c r="A188" s="44" t="s">
        <v>517</v>
      </c>
      <c r="B188" s="44" t="s">
        <v>252</v>
      </c>
      <c r="C188" s="44">
        <v>9</v>
      </c>
      <c r="D188" s="44" t="s">
        <v>470</v>
      </c>
      <c r="E188" s="44" t="s">
        <v>237</v>
      </c>
      <c r="F188" s="44" t="s">
        <v>221</v>
      </c>
      <c r="G188" s="9">
        <f>'06_Raw_Quarterly_Performance'!K18</f>
        <v>8497</v>
      </c>
      <c r="H188" s="62" t="s">
        <v>518</v>
      </c>
      <c r="I188" s="62" t="s">
        <v>615</v>
      </c>
    </row>
    <row r="189" spans="1:9">
      <c r="A189" s="44" t="s">
        <v>517</v>
      </c>
      <c r="B189" s="44" t="s">
        <v>123</v>
      </c>
      <c r="C189" s="44">
        <v>10</v>
      </c>
      <c r="D189" s="44" t="s">
        <v>470</v>
      </c>
      <c r="E189" s="44" t="s">
        <v>237</v>
      </c>
      <c r="F189" s="44" t="s">
        <v>221</v>
      </c>
      <c r="G189" s="9">
        <f>'06_Raw_Quarterly_Performance'!L18</f>
        <v>8016</v>
      </c>
      <c r="H189" s="62" t="s">
        <v>518</v>
      </c>
      <c r="I189" s="62" t="s">
        <v>616</v>
      </c>
    </row>
    <row r="190" spans="1:9">
      <c r="A190" s="44" t="s">
        <v>517</v>
      </c>
      <c r="B190" s="44" t="s">
        <v>244</v>
      </c>
      <c r="C190" s="44">
        <v>1</v>
      </c>
      <c r="D190" s="44" t="s">
        <v>470</v>
      </c>
      <c r="E190" s="44" t="s">
        <v>241</v>
      </c>
      <c r="F190" s="44" t="s">
        <v>235</v>
      </c>
      <c r="G190" s="15">
        <f>'06_Raw_Quarterly_Performance'!C19</f>
        <v>0.17617295308187672</v>
      </c>
      <c r="H190" s="62" t="s">
        <v>518</v>
      </c>
      <c r="I190" s="62" t="s">
        <v>514</v>
      </c>
    </row>
    <row r="191" spans="1:9">
      <c r="A191" s="44" t="s">
        <v>517</v>
      </c>
      <c r="B191" s="44" t="s">
        <v>245</v>
      </c>
      <c r="C191" s="44">
        <v>2</v>
      </c>
      <c r="D191" s="44" t="s">
        <v>470</v>
      </c>
      <c r="E191" s="44" t="s">
        <v>241</v>
      </c>
      <c r="F191" s="44" t="s">
        <v>235</v>
      </c>
      <c r="G191" s="15">
        <f>'06_Raw_Quarterly_Performance'!D19</f>
        <v>0.19813235891189607</v>
      </c>
      <c r="H191" s="62" t="s">
        <v>518</v>
      </c>
      <c r="I191" s="62" t="s">
        <v>515</v>
      </c>
    </row>
    <row r="192" spans="1:9">
      <c r="A192" s="44" t="s">
        <v>517</v>
      </c>
      <c r="B192" s="44" t="s">
        <v>246</v>
      </c>
      <c r="C192" s="44">
        <v>3</v>
      </c>
      <c r="D192" s="44" t="s">
        <v>470</v>
      </c>
      <c r="E192" s="44" t="s">
        <v>241</v>
      </c>
      <c r="F192" s="44" t="s">
        <v>235</v>
      </c>
      <c r="G192" s="15">
        <f>'06_Raw_Quarterly_Performance'!E19</f>
        <v>0.16508468267262238</v>
      </c>
      <c r="H192" s="62" t="s">
        <v>518</v>
      </c>
      <c r="I192" s="62" t="s">
        <v>516</v>
      </c>
    </row>
    <row r="193" spans="1:9">
      <c r="A193" s="44" t="s">
        <v>517</v>
      </c>
      <c r="B193" s="44" t="s">
        <v>247</v>
      </c>
      <c r="C193" s="44">
        <v>4</v>
      </c>
      <c r="D193" s="44" t="s">
        <v>470</v>
      </c>
      <c r="E193" s="44" t="s">
        <v>241</v>
      </c>
      <c r="F193" s="44" t="s">
        <v>235</v>
      </c>
      <c r="G193" s="15">
        <f>'06_Raw_Quarterly_Performance'!F19</f>
        <v>0.19041227229146693</v>
      </c>
      <c r="H193" s="62" t="s">
        <v>518</v>
      </c>
      <c r="I193" s="62" t="s">
        <v>617</v>
      </c>
    </row>
    <row r="194" spans="1:9">
      <c r="A194" s="44" t="s">
        <v>517</v>
      </c>
      <c r="B194" s="44" t="s">
        <v>248</v>
      </c>
      <c r="C194" s="44">
        <v>5</v>
      </c>
      <c r="D194" s="44" t="s">
        <v>470</v>
      </c>
      <c r="E194" s="44" t="s">
        <v>241</v>
      </c>
      <c r="F194" s="44" t="s">
        <v>235</v>
      </c>
      <c r="G194" s="15">
        <f>'06_Raw_Quarterly_Performance'!G19</f>
        <v>0.20239390642002175</v>
      </c>
      <c r="H194" s="62" t="s">
        <v>518</v>
      </c>
      <c r="I194" s="62" t="s">
        <v>618</v>
      </c>
    </row>
    <row r="195" spans="1:9">
      <c r="A195" s="44" t="s">
        <v>517</v>
      </c>
      <c r="B195" s="44" t="s">
        <v>249</v>
      </c>
      <c r="C195" s="44">
        <v>6</v>
      </c>
      <c r="D195" s="44" t="s">
        <v>470</v>
      </c>
      <c r="E195" s="44" t="s">
        <v>241</v>
      </c>
      <c r="F195" s="44" t="s">
        <v>235</v>
      </c>
      <c r="G195" s="15">
        <f>'06_Raw_Quarterly_Performance'!H19</f>
        <v>0.20442189198985139</v>
      </c>
      <c r="H195" s="62" t="s">
        <v>518</v>
      </c>
      <c r="I195" s="62" t="s">
        <v>619</v>
      </c>
    </row>
    <row r="196" spans="1:9">
      <c r="A196" s="44" t="s">
        <v>517</v>
      </c>
      <c r="B196" s="44" t="s">
        <v>250</v>
      </c>
      <c r="C196" s="44">
        <v>7</v>
      </c>
      <c r="D196" s="44" t="s">
        <v>470</v>
      </c>
      <c r="E196" s="44" t="s">
        <v>241</v>
      </c>
      <c r="F196" s="44" t="s">
        <v>235</v>
      </c>
      <c r="G196" s="15">
        <f>'06_Raw_Quarterly_Performance'!I19</f>
        <v>0.2121653084982538</v>
      </c>
      <c r="H196" s="62" t="s">
        <v>518</v>
      </c>
      <c r="I196" s="62" t="s">
        <v>620</v>
      </c>
    </row>
    <row r="197" spans="1:9">
      <c r="A197" s="44" t="s">
        <v>517</v>
      </c>
      <c r="B197" s="44" t="s">
        <v>251</v>
      </c>
      <c r="C197" s="44">
        <v>8</v>
      </c>
      <c r="D197" s="44" t="s">
        <v>470</v>
      </c>
      <c r="E197" s="44" t="s">
        <v>241</v>
      </c>
      <c r="F197" s="44" t="s">
        <v>235</v>
      </c>
      <c r="G197" s="15">
        <f>'06_Raw_Quarterly_Performance'!J19</f>
        <v>0.2041593438781488</v>
      </c>
      <c r="H197" s="62" t="s">
        <v>518</v>
      </c>
      <c r="I197" s="62" t="s">
        <v>621</v>
      </c>
    </row>
    <row r="198" spans="1:9">
      <c r="A198" s="44" t="s">
        <v>517</v>
      </c>
      <c r="B198" s="44" t="s">
        <v>252</v>
      </c>
      <c r="C198" s="44">
        <v>9</v>
      </c>
      <c r="D198" s="44" t="s">
        <v>470</v>
      </c>
      <c r="E198" s="44" t="s">
        <v>241</v>
      </c>
      <c r="F198" s="44" t="s">
        <v>235</v>
      </c>
      <c r="G198" s="15">
        <f>'06_Raw_Quarterly_Performance'!K19</f>
        <v>0.21898204401242069</v>
      </c>
      <c r="H198" s="62" t="s">
        <v>518</v>
      </c>
      <c r="I198" s="62" t="s">
        <v>622</v>
      </c>
    </row>
    <row r="199" spans="1:9">
      <c r="A199" s="44" t="s">
        <v>517</v>
      </c>
      <c r="B199" s="44" t="s">
        <v>123</v>
      </c>
      <c r="C199" s="44">
        <v>10</v>
      </c>
      <c r="D199" s="44" t="s">
        <v>470</v>
      </c>
      <c r="E199" s="44" t="s">
        <v>241</v>
      </c>
      <c r="F199" s="44" t="s">
        <v>235</v>
      </c>
      <c r="G199" s="15">
        <f>'06_Raw_Quarterly_Performance'!L19</f>
        <v>0.2245213963963964</v>
      </c>
      <c r="H199" s="62" t="s">
        <v>518</v>
      </c>
      <c r="I199" s="62" t="s">
        <v>623</v>
      </c>
    </row>
    <row r="200" spans="1:9">
      <c r="A200" s="44" t="s">
        <v>313</v>
      </c>
      <c r="B200" s="44" t="s">
        <v>219</v>
      </c>
      <c r="C200" s="44">
        <v>1</v>
      </c>
      <c r="D200" s="44" t="s">
        <v>314</v>
      </c>
      <c r="E200" s="44" t="s">
        <v>225</v>
      </c>
      <c r="F200" s="44" t="s">
        <v>221</v>
      </c>
      <c r="G200" s="9">
        <f>'10_Raw_Segment_Results'!C5</f>
        <v>15471</v>
      </c>
      <c r="H200" s="62" t="s">
        <v>624</v>
      </c>
      <c r="I200" s="62" t="s">
        <v>472</v>
      </c>
    </row>
    <row r="201" spans="1:9">
      <c r="A201" s="44" t="s">
        <v>313</v>
      </c>
      <c r="B201" s="44" t="s">
        <v>219</v>
      </c>
      <c r="C201" s="44">
        <v>1</v>
      </c>
      <c r="D201" s="44" t="s">
        <v>314</v>
      </c>
      <c r="E201" s="44" t="s">
        <v>150</v>
      </c>
      <c r="F201" s="44" t="s">
        <v>221</v>
      </c>
      <c r="G201" s="9">
        <f>'10_Raw_Segment_Results'!D5</f>
        <v>10945</v>
      </c>
      <c r="H201" s="62" t="s">
        <v>624</v>
      </c>
      <c r="I201" s="62" t="s">
        <v>473</v>
      </c>
    </row>
    <row r="202" spans="1:9">
      <c r="A202" s="44" t="s">
        <v>313</v>
      </c>
      <c r="B202" s="44" t="s">
        <v>219</v>
      </c>
      <c r="C202" s="44">
        <v>1</v>
      </c>
      <c r="D202" s="44" t="s">
        <v>314</v>
      </c>
      <c r="E202" s="44" t="s">
        <v>155</v>
      </c>
      <c r="F202" s="44" t="s">
        <v>221</v>
      </c>
      <c r="G202" s="9">
        <f>'10_Raw_Segment_Results'!E5</f>
        <v>4526</v>
      </c>
      <c r="H202" s="62" t="s">
        <v>624</v>
      </c>
      <c r="I202" s="62" t="s">
        <v>474</v>
      </c>
    </row>
    <row r="203" spans="1:9">
      <c r="A203" s="44" t="s">
        <v>313</v>
      </c>
      <c r="B203" s="44" t="s">
        <v>219</v>
      </c>
      <c r="C203" s="44">
        <v>1</v>
      </c>
      <c r="D203" s="44" t="s">
        <v>314</v>
      </c>
      <c r="E203" s="44" t="s">
        <v>161</v>
      </c>
      <c r="F203" s="44" t="s">
        <v>221</v>
      </c>
      <c r="G203" s="9">
        <f>'10_Raw_Segment_Results'!F5</f>
        <v>1264</v>
      </c>
      <c r="H203" s="62" t="s">
        <v>624</v>
      </c>
      <c r="I203" s="62" t="s">
        <v>519</v>
      </c>
    </row>
    <row r="204" spans="1:9">
      <c r="A204" s="44" t="s">
        <v>313</v>
      </c>
      <c r="B204" s="44" t="s">
        <v>219</v>
      </c>
      <c r="C204" s="44">
        <v>1</v>
      </c>
      <c r="D204" s="44" t="s">
        <v>314</v>
      </c>
      <c r="E204" s="44" t="s">
        <v>226</v>
      </c>
      <c r="F204" s="44" t="s">
        <v>221</v>
      </c>
      <c r="G204" s="9">
        <f>'10_Raw_Segment_Results'!G5</f>
        <v>6813</v>
      </c>
      <c r="H204" s="62" t="s">
        <v>624</v>
      </c>
      <c r="I204" s="62" t="s">
        <v>520</v>
      </c>
    </row>
    <row r="205" spans="1:9">
      <c r="A205" s="44" t="s">
        <v>313</v>
      </c>
      <c r="B205" s="44" t="s">
        <v>219</v>
      </c>
      <c r="C205" s="44">
        <v>1</v>
      </c>
      <c r="D205" s="44" t="s">
        <v>314</v>
      </c>
      <c r="E205" s="44" t="s">
        <v>229</v>
      </c>
      <c r="F205" s="44" t="s">
        <v>221</v>
      </c>
      <c r="G205" s="9">
        <f>'10_Raw_Segment_Results'!H5</f>
        <v>5418</v>
      </c>
      <c r="H205" s="62" t="s">
        <v>624</v>
      </c>
      <c r="I205" s="62" t="s">
        <v>521</v>
      </c>
    </row>
    <row r="206" spans="1:9">
      <c r="A206" s="44" t="s">
        <v>313</v>
      </c>
      <c r="B206" s="44" t="s">
        <v>219</v>
      </c>
      <c r="C206" s="44">
        <v>1</v>
      </c>
      <c r="D206" s="44" t="s">
        <v>314</v>
      </c>
      <c r="E206" s="44" t="s">
        <v>183</v>
      </c>
      <c r="F206" s="44" t="s">
        <v>235</v>
      </c>
      <c r="G206" s="15">
        <f>'10_Raw_Segment_Results'!I5</f>
        <v>0.28899999999999998</v>
      </c>
      <c r="H206" s="62" t="s">
        <v>624</v>
      </c>
      <c r="I206" s="62" t="s">
        <v>522</v>
      </c>
    </row>
    <row r="207" spans="1:9">
      <c r="A207" s="44" t="s">
        <v>313</v>
      </c>
      <c r="B207" s="44" t="s">
        <v>219</v>
      </c>
      <c r="C207" s="44">
        <v>1</v>
      </c>
      <c r="D207" s="44" t="s">
        <v>314</v>
      </c>
      <c r="E207" s="44" t="s">
        <v>186</v>
      </c>
      <c r="F207" s="44" t="s">
        <v>235</v>
      </c>
      <c r="G207" s="15">
        <f>'10_Raw_Segment_Results'!J5</f>
        <v>0.44</v>
      </c>
      <c r="H207" s="62" t="s">
        <v>624</v>
      </c>
      <c r="I207" s="62" t="s">
        <v>523</v>
      </c>
    </row>
    <row r="208" spans="1:9">
      <c r="A208" s="44" t="s">
        <v>313</v>
      </c>
      <c r="B208" s="44" t="s">
        <v>219</v>
      </c>
      <c r="C208" s="44">
        <v>1</v>
      </c>
      <c r="D208" s="44" t="s">
        <v>316</v>
      </c>
      <c r="E208" s="44" t="s">
        <v>225</v>
      </c>
      <c r="F208" s="44" t="s">
        <v>221</v>
      </c>
      <c r="G208" s="9">
        <f>'10_Raw_Segment_Results'!C6</f>
        <v>6032</v>
      </c>
      <c r="H208" s="62" t="s">
        <v>624</v>
      </c>
      <c r="I208" s="62" t="s">
        <v>475</v>
      </c>
    </row>
    <row r="209" spans="1:9">
      <c r="A209" s="44" t="s">
        <v>313</v>
      </c>
      <c r="B209" s="44" t="s">
        <v>219</v>
      </c>
      <c r="C209" s="44">
        <v>1</v>
      </c>
      <c r="D209" s="44" t="s">
        <v>316</v>
      </c>
      <c r="E209" s="44" t="s">
        <v>150</v>
      </c>
      <c r="F209" s="44" t="s">
        <v>221</v>
      </c>
      <c r="G209" s="9">
        <f>'10_Raw_Segment_Results'!D6</f>
        <v>4771</v>
      </c>
      <c r="H209" s="62" t="s">
        <v>624</v>
      </c>
      <c r="I209" s="62" t="s">
        <v>476</v>
      </c>
    </row>
    <row r="210" spans="1:9">
      <c r="A210" s="44" t="s">
        <v>313</v>
      </c>
      <c r="B210" s="44" t="s">
        <v>219</v>
      </c>
      <c r="C210" s="44">
        <v>1</v>
      </c>
      <c r="D210" s="44" t="s">
        <v>316</v>
      </c>
      <c r="E210" s="44" t="s">
        <v>155</v>
      </c>
      <c r="F210" s="44" t="s">
        <v>221</v>
      </c>
      <c r="G210" s="9">
        <f>'10_Raw_Segment_Results'!E6</f>
        <v>1261</v>
      </c>
      <c r="H210" s="62" t="s">
        <v>624</v>
      </c>
      <c r="I210" s="62" t="s">
        <v>477</v>
      </c>
    </row>
    <row r="211" spans="1:9">
      <c r="A211" s="44" t="s">
        <v>313</v>
      </c>
      <c r="B211" s="44" t="s">
        <v>219</v>
      </c>
      <c r="C211" s="44">
        <v>1</v>
      </c>
      <c r="D211" s="44" t="s">
        <v>316</v>
      </c>
      <c r="E211" s="44" t="s">
        <v>161</v>
      </c>
      <c r="F211" s="44" t="s">
        <v>221</v>
      </c>
      <c r="G211" s="9">
        <f>'10_Raw_Segment_Results'!F6</f>
        <v>315</v>
      </c>
      <c r="H211" s="62" t="s">
        <v>624</v>
      </c>
      <c r="I211" s="62" t="s">
        <v>526</v>
      </c>
    </row>
    <row r="212" spans="1:9">
      <c r="A212" s="44" t="s">
        <v>313</v>
      </c>
      <c r="B212" s="44" t="s">
        <v>219</v>
      </c>
      <c r="C212" s="44">
        <v>1</v>
      </c>
      <c r="D212" s="44" t="s">
        <v>316</v>
      </c>
      <c r="E212" s="44" t="s">
        <v>226</v>
      </c>
      <c r="F212" s="44" t="s">
        <v>221</v>
      </c>
      <c r="G212" s="9">
        <f>'10_Raw_Segment_Results'!G6</f>
        <v>2143</v>
      </c>
      <c r="H212" s="62" t="s">
        <v>624</v>
      </c>
      <c r="I212" s="62" t="s">
        <v>527</v>
      </c>
    </row>
    <row r="213" spans="1:9">
      <c r="A213" s="44" t="s">
        <v>313</v>
      </c>
      <c r="B213" s="44" t="s">
        <v>219</v>
      </c>
      <c r="C213" s="44">
        <v>1</v>
      </c>
      <c r="D213" s="44" t="s">
        <v>316</v>
      </c>
      <c r="E213" s="44" t="s">
        <v>229</v>
      </c>
      <c r="F213" s="44" t="s">
        <v>221</v>
      </c>
      <c r="G213" s="9">
        <f>'10_Raw_Segment_Results'!H6</f>
        <v>2582</v>
      </c>
      <c r="H213" s="62" t="s">
        <v>624</v>
      </c>
      <c r="I213" s="62" t="s">
        <v>528</v>
      </c>
    </row>
    <row r="214" spans="1:9">
      <c r="A214" s="44" t="s">
        <v>313</v>
      </c>
      <c r="B214" s="44" t="s">
        <v>219</v>
      </c>
      <c r="C214" s="44">
        <v>1</v>
      </c>
      <c r="D214" s="44" t="s">
        <v>316</v>
      </c>
      <c r="E214" s="44" t="s">
        <v>183</v>
      </c>
      <c r="F214" s="44" t="s">
        <v>235</v>
      </c>
      <c r="G214" s="15">
        <f>'10_Raw_Segment_Results'!I6</f>
        <v>0.23699999999999999</v>
      </c>
      <c r="H214" s="62" t="s">
        <v>624</v>
      </c>
      <c r="I214" s="62" t="s">
        <v>529</v>
      </c>
    </row>
    <row r="215" spans="1:9">
      <c r="A215" s="44" t="s">
        <v>313</v>
      </c>
      <c r="B215" s="44" t="s">
        <v>219</v>
      </c>
      <c r="C215" s="44">
        <v>1</v>
      </c>
      <c r="D215" s="44" t="s">
        <v>316</v>
      </c>
      <c r="E215" s="44" t="s">
        <v>186</v>
      </c>
      <c r="F215" s="44" t="s">
        <v>235</v>
      </c>
      <c r="G215" s="15">
        <f>'10_Raw_Segment_Results'!J6</f>
        <v>0.35499999999999998</v>
      </c>
      <c r="H215" s="62" t="s">
        <v>624</v>
      </c>
      <c r="I215" s="62" t="s">
        <v>530</v>
      </c>
    </row>
    <row r="216" spans="1:9">
      <c r="A216" s="44" t="s">
        <v>313</v>
      </c>
      <c r="B216" s="44" t="s">
        <v>219</v>
      </c>
      <c r="C216" s="44">
        <v>1</v>
      </c>
      <c r="D216" s="44" t="s">
        <v>317</v>
      </c>
      <c r="E216" s="44" t="s">
        <v>225</v>
      </c>
      <c r="F216" s="44" t="s">
        <v>221</v>
      </c>
      <c r="G216" s="9">
        <f>'10_Raw_Segment_Results'!C7</f>
        <v>18161</v>
      </c>
      <c r="H216" s="62" t="s">
        <v>624</v>
      </c>
      <c r="I216" s="62" t="s">
        <v>478</v>
      </c>
    </row>
    <row r="217" spans="1:9">
      <c r="A217" s="44" t="s">
        <v>313</v>
      </c>
      <c r="B217" s="44" t="s">
        <v>219</v>
      </c>
      <c r="C217" s="44">
        <v>1</v>
      </c>
      <c r="D217" s="44" t="s">
        <v>317</v>
      </c>
      <c r="E217" s="44" t="s">
        <v>150</v>
      </c>
      <c r="F217" s="44" t="s">
        <v>221</v>
      </c>
      <c r="G217" s="9">
        <f>'10_Raw_Segment_Results'!D7</f>
        <v>4853</v>
      </c>
      <c r="H217" s="62" t="s">
        <v>624</v>
      </c>
      <c r="I217" s="62" t="s">
        <v>479</v>
      </c>
    </row>
    <row r="218" spans="1:9">
      <c r="A218" s="44" t="s">
        <v>313</v>
      </c>
      <c r="B218" s="44" t="s">
        <v>219</v>
      </c>
      <c r="C218" s="44">
        <v>1</v>
      </c>
      <c r="D218" s="44" t="s">
        <v>317</v>
      </c>
      <c r="E218" s="44" t="s">
        <v>155</v>
      </c>
      <c r="F218" s="44" t="s">
        <v>221</v>
      </c>
      <c r="G218" s="9">
        <f>'10_Raw_Segment_Results'!E7</f>
        <v>13308</v>
      </c>
      <c r="H218" s="62" t="s">
        <v>624</v>
      </c>
      <c r="I218" s="62" t="s">
        <v>480</v>
      </c>
    </row>
    <row r="219" spans="1:9">
      <c r="A219" s="44" t="s">
        <v>313</v>
      </c>
      <c r="B219" s="44" t="s">
        <v>219</v>
      </c>
      <c r="C219" s="44">
        <v>1</v>
      </c>
      <c r="D219" s="44" t="s">
        <v>317</v>
      </c>
      <c r="E219" s="44" t="s">
        <v>161</v>
      </c>
      <c r="F219" s="44" t="s">
        <v>221</v>
      </c>
      <c r="G219" s="9">
        <f>'10_Raw_Segment_Results'!F7</f>
        <v>328</v>
      </c>
      <c r="H219" s="62" t="s">
        <v>624</v>
      </c>
      <c r="I219" s="62" t="s">
        <v>533</v>
      </c>
    </row>
    <row r="220" spans="1:9">
      <c r="A220" s="44" t="s">
        <v>313</v>
      </c>
      <c r="B220" s="44" t="s">
        <v>219</v>
      </c>
      <c r="C220" s="44">
        <v>1</v>
      </c>
      <c r="D220" s="44" t="s">
        <v>317</v>
      </c>
      <c r="E220" s="44" t="s">
        <v>226</v>
      </c>
      <c r="F220" s="44" t="s">
        <v>221</v>
      </c>
      <c r="G220" s="9">
        <f>'10_Raw_Segment_Results'!G7</f>
        <v>14387</v>
      </c>
      <c r="H220" s="62" t="s">
        <v>624</v>
      </c>
      <c r="I220" s="62" t="s">
        <v>534</v>
      </c>
    </row>
    <row r="221" spans="1:9">
      <c r="A221" s="44" t="s">
        <v>313</v>
      </c>
      <c r="B221" s="44" t="s">
        <v>219</v>
      </c>
      <c r="C221" s="44">
        <v>1</v>
      </c>
      <c r="D221" s="44" t="s">
        <v>317</v>
      </c>
      <c r="E221" s="44" t="s">
        <v>229</v>
      </c>
      <c r="F221" s="44" t="s">
        <v>221</v>
      </c>
      <c r="G221" s="9">
        <f>'10_Raw_Segment_Results'!H7</f>
        <v>2693</v>
      </c>
      <c r="H221" s="62" t="s">
        <v>624</v>
      </c>
      <c r="I221" s="62" t="s">
        <v>535</v>
      </c>
    </row>
    <row r="222" spans="1:9">
      <c r="A222" s="44" t="s">
        <v>313</v>
      </c>
      <c r="B222" s="44" t="s">
        <v>219</v>
      </c>
      <c r="C222" s="44">
        <v>1</v>
      </c>
      <c r="D222" s="44" t="s">
        <v>317</v>
      </c>
      <c r="E222" s="44" t="s">
        <v>183</v>
      </c>
      <c r="F222" s="44" t="s">
        <v>235</v>
      </c>
      <c r="G222" s="15">
        <f>'10_Raw_Segment_Results'!I7</f>
        <v>0.109</v>
      </c>
      <c r="H222" s="62" t="s">
        <v>624</v>
      </c>
      <c r="I222" s="62" t="s">
        <v>536</v>
      </c>
    </row>
    <row r="223" spans="1:9">
      <c r="A223" s="44" t="s">
        <v>313</v>
      </c>
      <c r="B223" s="44" t="s">
        <v>219</v>
      </c>
      <c r="C223" s="44">
        <v>1</v>
      </c>
      <c r="D223" s="44" t="s">
        <v>317</v>
      </c>
      <c r="E223" s="44" t="s">
        <v>186</v>
      </c>
      <c r="F223" s="44" t="s">
        <v>235</v>
      </c>
      <c r="G223" s="15"/>
      <c r="H223" s="62" t="s">
        <v>624</v>
      </c>
      <c r="I223" s="62" t="s">
        <v>537</v>
      </c>
    </row>
    <row r="224" spans="1:9">
      <c r="A224" s="44" t="s">
        <v>313</v>
      </c>
      <c r="B224" s="44" t="s">
        <v>219</v>
      </c>
      <c r="C224" s="44">
        <v>1</v>
      </c>
      <c r="D224" s="44" t="s">
        <v>318</v>
      </c>
      <c r="E224" s="44" t="s">
        <v>225</v>
      </c>
      <c r="F224" s="44" t="s">
        <v>221</v>
      </c>
      <c r="G224" s="9">
        <f>'10_Raw_Segment_Results'!C8</f>
        <v>1010</v>
      </c>
      <c r="H224" s="62" t="s">
        <v>624</v>
      </c>
      <c r="I224" s="62" t="s">
        <v>481</v>
      </c>
    </row>
    <row r="225" spans="1:9">
      <c r="A225" s="44" t="s">
        <v>313</v>
      </c>
      <c r="B225" s="44" t="s">
        <v>219</v>
      </c>
      <c r="C225" s="44">
        <v>1</v>
      </c>
      <c r="D225" s="44" t="s">
        <v>318</v>
      </c>
      <c r="E225" s="44" t="s">
        <v>150</v>
      </c>
      <c r="F225" s="44" t="s">
        <v>221</v>
      </c>
      <c r="G225" s="9"/>
      <c r="H225" s="62" t="s">
        <v>624</v>
      </c>
      <c r="I225" s="62" t="s">
        <v>482</v>
      </c>
    </row>
    <row r="226" spans="1:9">
      <c r="A226" s="44" t="s">
        <v>313</v>
      </c>
      <c r="B226" s="44" t="s">
        <v>219</v>
      </c>
      <c r="C226" s="44">
        <v>1</v>
      </c>
      <c r="D226" s="44" t="s">
        <v>318</v>
      </c>
      <c r="E226" s="44" t="s">
        <v>155</v>
      </c>
      <c r="F226" s="44" t="s">
        <v>221</v>
      </c>
      <c r="G226" s="9"/>
      <c r="H226" s="62" t="s">
        <v>624</v>
      </c>
      <c r="I226" s="62" t="s">
        <v>483</v>
      </c>
    </row>
    <row r="227" spans="1:9">
      <c r="A227" s="44" t="s">
        <v>313</v>
      </c>
      <c r="B227" s="44" t="s">
        <v>219</v>
      </c>
      <c r="C227" s="44">
        <v>1</v>
      </c>
      <c r="D227" s="44" t="s">
        <v>318</v>
      </c>
      <c r="E227" s="44" t="s">
        <v>161</v>
      </c>
      <c r="F227" s="44" t="s">
        <v>221</v>
      </c>
      <c r="G227" s="9">
        <f>'10_Raw_Segment_Results'!F8</f>
        <v>0</v>
      </c>
      <c r="H227" s="62" t="s">
        <v>624</v>
      </c>
      <c r="I227" s="62" t="s">
        <v>540</v>
      </c>
    </row>
    <row r="228" spans="1:9">
      <c r="A228" s="44" t="s">
        <v>313</v>
      </c>
      <c r="B228" s="44" t="s">
        <v>219</v>
      </c>
      <c r="C228" s="44">
        <v>1</v>
      </c>
      <c r="D228" s="44" t="s">
        <v>318</v>
      </c>
      <c r="E228" s="44" t="s">
        <v>226</v>
      </c>
      <c r="F228" s="44" t="s">
        <v>221</v>
      </c>
      <c r="G228" s="9">
        <f>'10_Raw_Segment_Results'!G8</f>
        <v>293</v>
      </c>
      <c r="H228" s="62" t="s">
        <v>624</v>
      </c>
      <c r="I228" s="62" t="s">
        <v>541</v>
      </c>
    </row>
    <row r="229" spans="1:9">
      <c r="A229" s="44" t="s">
        <v>313</v>
      </c>
      <c r="B229" s="44" t="s">
        <v>219</v>
      </c>
      <c r="C229" s="44">
        <v>1</v>
      </c>
      <c r="D229" s="44" t="s">
        <v>318</v>
      </c>
      <c r="E229" s="44" t="s">
        <v>229</v>
      </c>
      <c r="F229" s="44" t="s">
        <v>221</v>
      </c>
      <c r="G229" s="9">
        <f>'10_Raw_Segment_Results'!H8</f>
        <v>549</v>
      </c>
      <c r="H229" s="62" t="s">
        <v>624</v>
      </c>
      <c r="I229" s="62" t="s">
        <v>542</v>
      </c>
    </row>
    <row r="230" spans="1:9">
      <c r="A230" s="44" t="s">
        <v>313</v>
      </c>
      <c r="B230" s="44" t="s">
        <v>219</v>
      </c>
      <c r="C230" s="44">
        <v>1</v>
      </c>
      <c r="D230" s="44" t="s">
        <v>318</v>
      </c>
      <c r="E230" s="44" t="s">
        <v>183</v>
      </c>
      <c r="F230" s="44" t="s">
        <v>235</v>
      </c>
      <c r="G230" s="15">
        <f>'10_Raw_Segment_Results'!I8</f>
        <v>0.253</v>
      </c>
      <c r="H230" s="62" t="s">
        <v>624</v>
      </c>
      <c r="I230" s="62" t="s">
        <v>543</v>
      </c>
    </row>
    <row r="231" spans="1:9">
      <c r="A231" s="44" t="s">
        <v>313</v>
      </c>
      <c r="B231" s="44" t="s">
        <v>219</v>
      </c>
      <c r="C231" s="44">
        <v>1</v>
      </c>
      <c r="D231" s="44" t="s">
        <v>318</v>
      </c>
      <c r="E231" s="44" t="s">
        <v>186</v>
      </c>
      <c r="F231" s="44" t="s">
        <v>235</v>
      </c>
      <c r="G231" s="15"/>
      <c r="H231" s="62" t="s">
        <v>624</v>
      </c>
      <c r="I231" s="62" t="s">
        <v>544</v>
      </c>
    </row>
    <row r="232" spans="1:9">
      <c r="A232" s="44" t="s">
        <v>313</v>
      </c>
      <c r="B232" s="44" t="s">
        <v>219</v>
      </c>
      <c r="C232" s="44">
        <v>1</v>
      </c>
      <c r="D232" s="44" t="s">
        <v>319</v>
      </c>
      <c r="E232" s="44" t="s">
        <v>225</v>
      </c>
      <c r="F232" s="44" t="s">
        <v>221</v>
      </c>
      <c r="G232" s="9">
        <f>'10_Raw_Segment_Results'!C9</f>
        <v>11051</v>
      </c>
      <c r="H232" s="62" t="s">
        <v>624</v>
      </c>
      <c r="I232" s="62" t="s">
        <v>484</v>
      </c>
    </row>
    <row r="233" spans="1:9">
      <c r="A233" s="44" t="s">
        <v>313</v>
      </c>
      <c r="B233" s="44" t="s">
        <v>219</v>
      </c>
      <c r="C233" s="44">
        <v>1</v>
      </c>
      <c r="D233" s="44" t="s">
        <v>319</v>
      </c>
      <c r="E233" s="44" t="s">
        <v>150</v>
      </c>
      <c r="F233" s="44" t="s">
        <v>221</v>
      </c>
      <c r="G233" s="9">
        <f>'10_Raw_Segment_Results'!D9</f>
        <v>3379</v>
      </c>
      <c r="H233" s="62" t="s">
        <v>624</v>
      </c>
      <c r="I233" s="62" t="s">
        <v>485</v>
      </c>
    </row>
    <row r="234" spans="1:9">
      <c r="A234" s="44" t="s">
        <v>313</v>
      </c>
      <c r="B234" s="44" t="s">
        <v>219</v>
      </c>
      <c r="C234" s="44">
        <v>1</v>
      </c>
      <c r="D234" s="44" t="s">
        <v>319</v>
      </c>
      <c r="E234" s="44" t="s">
        <v>155</v>
      </c>
      <c r="F234" s="44" t="s">
        <v>221</v>
      </c>
      <c r="G234" s="9">
        <f>'10_Raw_Segment_Results'!E9</f>
        <v>7672</v>
      </c>
      <c r="H234" s="62" t="s">
        <v>624</v>
      </c>
      <c r="I234" s="62" t="s">
        <v>486</v>
      </c>
    </row>
    <row r="235" spans="1:9">
      <c r="A235" s="44" t="s">
        <v>313</v>
      </c>
      <c r="B235" s="44" t="s">
        <v>219</v>
      </c>
      <c r="C235" s="44">
        <v>1</v>
      </c>
      <c r="D235" s="44" t="s">
        <v>319</v>
      </c>
      <c r="E235" s="44" t="s">
        <v>161</v>
      </c>
      <c r="F235" s="44" t="s">
        <v>221</v>
      </c>
      <c r="G235" s="9">
        <f>'10_Raw_Segment_Results'!F9</f>
        <v>561</v>
      </c>
      <c r="H235" s="62" t="s">
        <v>624</v>
      </c>
      <c r="I235" s="62" t="s">
        <v>547</v>
      </c>
    </row>
    <row r="236" spans="1:9">
      <c r="A236" s="44" t="s">
        <v>313</v>
      </c>
      <c r="B236" s="44" t="s">
        <v>219</v>
      </c>
      <c r="C236" s="44">
        <v>1</v>
      </c>
      <c r="D236" s="44" t="s">
        <v>319</v>
      </c>
      <c r="E236" s="44" t="s">
        <v>226</v>
      </c>
      <c r="F236" s="44" t="s">
        <v>221</v>
      </c>
      <c r="G236" s="9">
        <f>'10_Raw_Segment_Results'!G9</f>
        <v>6509</v>
      </c>
      <c r="H236" s="62" t="s">
        <v>624</v>
      </c>
      <c r="I236" s="62" t="s">
        <v>548</v>
      </c>
    </row>
    <row r="237" spans="1:9">
      <c r="A237" s="44" t="s">
        <v>313</v>
      </c>
      <c r="B237" s="44" t="s">
        <v>219</v>
      </c>
      <c r="C237" s="44">
        <v>1</v>
      </c>
      <c r="D237" s="44" t="s">
        <v>319</v>
      </c>
      <c r="E237" s="44" t="s">
        <v>229</v>
      </c>
      <c r="F237" s="44" t="s">
        <v>221</v>
      </c>
      <c r="G237" s="9">
        <f>'10_Raw_Segment_Results'!H9</f>
        <v>4139</v>
      </c>
      <c r="H237" s="62" t="s">
        <v>624</v>
      </c>
      <c r="I237" s="62" t="s">
        <v>549</v>
      </c>
    </row>
    <row r="238" spans="1:9">
      <c r="A238" s="44" t="s">
        <v>313</v>
      </c>
      <c r="B238" s="44" t="s">
        <v>219</v>
      </c>
      <c r="C238" s="44">
        <v>1</v>
      </c>
      <c r="D238" s="44" t="s">
        <v>319</v>
      </c>
      <c r="E238" s="44" t="s">
        <v>183</v>
      </c>
      <c r="F238" s="44" t="s">
        <v>235</v>
      </c>
      <c r="G238" s="15">
        <f>'10_Raw_Segment_Results'!I9</f>
        <v>0.14599999999999999</v>
      </c>
      <c r="H238" s="62" t="s">
        <v>624</v>
      </c>
      <c r="I238" s="62" t="s">
        <v>550</v>
      </c>
    </row>
    <row r="239" spans="1:9">
      <c r="A239" s="44" t="s">
        <v>313</v>
      </c>
      <c r="B239" s="44" t="s">
        <v>219</v>
      </c>
      <c r="C239" s="44">
        <v>1</v>
      </c>
      <c r="D239" s="44" t="s">
        <v>319</v>
      </c>
      <c r="E239" s="44" t="s">
        <v>186</v>
      </c>
      <c r="F239" s="44" t="s">
        <v>235</v>
      </c>
      <c r="G239" s="15"/>
      <c r="H239" s="62" t="s">
        <v>624</v>
      </c>
      <c r="I239" s="62" t="s">
        <v>551</v>
      </c>
    </row>
    <row r="240" spans="1:9">
      <c r="A240" s="44" t="s">
        <v>313</v>
      </c>
      <c r="B240" s="44" t="s">
        <v>219</v>
      </c>
      <c r="C240" s="44">
        <v>1</v>
      </c>
      <c r="D240" s="44" t="s">
        <v>320</v>
      </c>
      <c r="E240" s="44" t="s">
        <v>225</v>
      </c>
      <c r="F240" s="44" t="s">
        <v>221</v>
      </c>
      <c r="G240" s="9">
        <f>'10_Raw_Segment_Results'!C10</f>
        <v>-261</v>
      </c>
      <c r="H240" s="62" t="s">
        <v>624</v>
      </c>
      <c r="I240" s="62" t="s">
        <v>487</v>
      </c>
    </row>
    <row r="241" spans="1:9">
      <c r="A241" s="44" t="s">
        <v>313</v>
      </c>
      <c r="B241" s="44" t="s">
        <v>219</v>
      </c>
      <c r="C241" s="44">
        <v>1</v>
      </c>
      <c r="D241" s="44" t="s">
        <v>320</v>
      </c>
      <c r="E241" s="44" t="s">
        <v>150</v>
      </c>
      <c r="F241" s="44" t="s">
        <v>221</v>
      </c>
      <c r="G241" s="9">
        <f>'10_Raw_Segment_Results'!D10</f>
        <v>1181</v>
      </c>
      <c r="H241" s="62" t="s">
        <v>624</v>
      </c>
      <c r="I241" s="62" t="s">
        <v>488</v>
      </c>
    </row>
    <row r="242" spans="1:9">
      <c r="A242" s="44" t="s">
        <v>313</v>
      </c>
      <c r="B242" s="44" t="s">
        <v>219</v>
      </c>
      <c r="C242" s="44">
        <v>1</v>
      </c>
      <c r="D242" s="44" t="s">
        <v>320</v>
      </c>
      <c r="E242" s="44" t="s">
        <v>155</v>
      </c>
      <c r="F242" s="44" t="s">
        <v>221</v>
      </c>
      <c r="G242" s="9">
        <f>'10_Raw_Segment_Results'!E10</f>
        <v>-1553</v>
      </c>
      <c r="H242" s="62" t="s">
        <v>624</v>
      </c>
      <c r="I242" s="62" t="s">
        <v>489</v>
      </c>
    </row>
    <row r="243" spans="1:9">
      <c r="A243" s="44" t="s">
        <v>313</v>
      </c>
      <c r="B243" s="44" t="s">
        <v>219</v>
      </c>
      <c r="C243" s="44">
        <v>1</v>
      </c>
      <c r="D243" s="44" t="s">
        <v>320</v>
      </c>
      <c r="E243" s="44" t="s">
        <v>161</v>
      </c>
      <c r="F243" s="44" t="s">
        <v>221</v>
      </c>
      <c r="G243" s="9">
        <f>'10_Raw_Segment_Results'!F10</f>
        <v>0</v>
      </c>
      <c r="H243" s="62" t="s">
        <v>624</v>
      </c>
      <c r="I243" s="62" t="s">
        <v>554</v>
      </c>
    </row>
    <row r="244" spans="1:9">
      <c r="A244" s="44" t="s">
        <v>313</v>
      </c>
      <c r="B244" s="44" t="s">
        <v>219</v>
      </c>
      <c r="C244" s="44">
        <v>1</v>
      </c>
      <c r="D244" s="44" t="s">
        <v>320</v>
      </c>
      <c r="E244" s="44" t="s">
        <v>226</v>
      </c>
      <c r="F244" s="44" t="s">
        <v>221</v>
      </c>
      <c r="G244" s="9">
        <f>'10_Raw_Segment_Results'!G10</f>
        <v>559</v>
      </c>
      <c r="H244" s="62" t="s">
        <v>624</v>
      </c>
      <c r="I244" s="62" t="s">
        <v>555</v>
      </c>
    </row>
    <row r="245" spans="1:9">
      <c r="A245" s="44" t="s">
        <v>313</v>
      </c>
      <c r="B245" s="44" t="s">
        <v>219</v>
      </c>
      <c r="C245" s="44">
        <v>1</v>
      </c>
      <c r="D245" s="44" t="s">
        <v>320</v>
      </c>
      <c r="E245" s="44" t="s">
        <v>229</v>
      </c>
      <c r="F245" s="44" t="s">
        <v>221</v>
      </c>
      <c r="G245" s="9">
        <f>'10_Raw_Segment_Results'!H10</f>
        <v>-769</v>
      </c>
      <c r="H245" s="62" t="s">
        <v>624</v>
      </c>
      <c r="I245" s="62" t="s">
        <v>556</v>
      </c>
    </row>
    <row r="246" spans="1:9">
      <c r="A246" s="44" t="s">
        <v>313</v>
      </c>
      <c r="B246" s="44" t="s">
        <v>219</v>
      </c>
      <c r="C246" s="44">
        <v>1</v>
      </c>
      <c r="D246" s="44" t="s">
        <v>320</v>
      </c>
      <c r="E246" s="44" t="s">
        <v>183</v>
      </c>
      <c r="F246" s="44" t="s">
        <v>235</v>
      </c>
      <c r="G246" s="15"/>
      <c r="H246" s="62" t="s">
        <v>624</v>
      </c>
      <c r="I246" s="62" t="s">
        <v>557</v>
      </c>
    </row>
    <row r="247" spans="1:9">
      <c r="A247" s="44" t="s">
        <v>313</v>
      </c>
      <c r="B247" s="44" t="s">
        <v>219</v>
      </c>
      <c r="C247" s="44">
        <v>1</v>
      </c>
      <c r="D247" s="44" t="s">
        <v>320</v>
      </c>
      <c r="E247" s="44" t="s">
        <v>186</v>
      </c>
      <c r="F247" s="44" t="s">
        <v>235</v>
      </c>
      <c r="G247" s="15"/>
      <c r="H247" s="62" t="s">
        <v>624</v>
      </c>
      <c r="I247" s="62" t="s">
        <v>558</v>
      </c>
    </row>
    <row r="248" spans="1:9">
      <c r="A248" s="44" t="s">
        <v>313</v>
      </c>
      <c r="B248" s="44" t="s">
        <v>220</v>
      </c>
      <c r="C248" s="44">
        <v>2</v>
      </c>
      <c r="D248" s="44" t="s">
        <v>314</v>
      </c>
      <c r="E248" s="44" t="s">
        <v>225</v>
      </c>
      <c r="F248" s="44" t="s">
        <v>221</v>
      </c>
      <c r="G248" s="9">
        <f>'10_Raw_Segment_Results'!C11</f>
        <v>17342</v>
      </c>
      <c r="H248" s="62" t="s">
        <v>624</v>
      </c>
      <c r="I248" s="62" t="s">
        <v>490</v>
      </c>
    </row>
    <row r="249" spans="1:9">
      <c r="A249" s="44" t="s">
        <v>313</v>
      </c>
      <c r="B249" s="44" t="s">
        <v>220</v>
      </c>
      <c r="C249" s="44">
        <v>2</v>
      </c>
      <c r="D249" s="44" t="s">
        <v>314</v>
      </c>
      <c r="E249" s="44" t="s">
        <v>150</v>
      </c>
      <c r="F249" s="44" t="s">
        <v>221</v>
      </c>
      <c r="G249" s="9">
        <f>'10_Raw_Segment_Results'!D11</f>
        <v>12438</v>
      </c>
      <c r="H249" s="62" t="s">
        <v>624</v>
      </c>
      <c r="I249" s="62" t="s">
        <v>491</v>
      </c>
    </row>
    <row r="250" spans="1:9">
      <c r="A250" s="44" t="s">
        <v>313</v>
      </c>
      <c r="B250" s="44" t="s">
        <v>220</v>
      </c>
      <c r="C250" s="44">
        <v>2</v>
      </c>
      <c r="D250" s="44" t="s">
        <v>314</v>
      </c>
      <c r="E250" s="44" t="s">
        <v>155</v>
      </c>
      <c r="F250" s="44" t="s">
        <v>221</v>
      </c>
      <c r="G250" s="9">
        <f>'10_Raw_Segment_Results'!E11</f>
        <v>4904</v>
      </c>
      <c r="H250" s="62" t="s">
        <v>624</v>
      </c>
      <c r="I250" s="62" t="s">
        <v>492</v>
      </c>
    </row>
    <row r="251" spans="1:9">
      <c r="A251" s="44" t="s">
        <v>313</v>
      </c>
      <c r="B251" s="44" t="s">
        <v>220</v>
      </c>
      <c r="C251" s="44">
        <v>2</v>
      </c>
      <c r="D251" s="44" t="s">
        <v>314</v>
      </c>
      <c r="E251" s="44" t="s">
        <v>161</v>
      </c>
      <c r="F251" s="44" t="s">
        <v>221</v>
      </c>
      <c r="G251" s="9">
        <f>'10_Raw_Segment_Results'!F11</f>
        <v>1802</v>
      </c>
      <c r="H251" s="62" t="s">
        <v>624</v>
      </c>
      <c r="I251" s="62" t="s">
        <v>561</v>
      </c>
    </row>
    <row r="252" spans="1:9">
      <c r="A252" s="44" t="s">
        <v>313</v>
      </c>
      <c r="B252" s="44" t="s">
        <v>220</v>
      </c>
      <c r="C252" s="44">
        <v>2</v>
      </c>
      <c r="D252" s="44" t="s">
        <v>314</v>
      </c>
      <c r="E252" s="44" t="s">
        <v>226</v>
      </c>
      <c r="F252" s="44" t="s">
        <v>221</v>
      </c>
      <c r="G252" s="9">
        <f>'10_Raw_Segment_Results'!G11</f>
        <v>7485</v>
      </c>
      <c r="H252" s="62" t="s">
        <v>624</v>
      </c>
      <c r="I252" s="62" t="s">
        <v>562</v>
      </c>
    </row>
    <row r="253" spans="1:9">
      <c r="A253" s="44" t="s">
        <v>313</v>
      </c>
      <c r="B253" s="44" t="s">
        <v>220</v>
      </c>
      <c r="C253" s="44">
        <v>2</v>
      </c>
      <c r="D253" s="44" t="s">
        <v>314</v>
      </c>
      <c r="E253" s="44" t="s">
        <v>229</v>
      </c>
      <c r="F253" s="44" t="s">
        <v>221</v>
      </c>
      <c r="G253" s="9">
        <f>'10_Raw_Segment_Results'!H11</f>
        <v>5921</v>
      </c>
      <c r="H253" s="62" t="s">
        <v>624</v>
      </c>
      <c r="I253" s="62" t="s">
        <v>563</v>
      </c>
    </row>
    <row r="254" spans="1:9">
      <c r="A254" s="44" t="s">
        <v>313</v>
      </c>
      <c r="B254" s="44" t="s">
        <v>220</v>
      </c>
      <c r="C254" s="44">
        <v>2</v>
      </c>
      <c r="D254" s="44" t="s">
        <v>314</v>
      </c>
      <c r="E254" s="44" t="s">
        <v>183</v>
      </c>
      <c r="F254" s="44" t="s">
        <v>235</v>
      </c>
      <c r="G254" s="15">
        <f>'10_Raw_Segment_Results'!I11</f>
        <v>0.248</v>
      </c>
      <c r="H254" s="62" t="s">
        <v>624</v>
      </c>
      <c r="I254" s="62" t="s">
        <v>564</v>
      </c>
    </row>
    <row r="255" spans="1:9">
      <c r="A255" s="44" t="s">
        <v>313</v>
      </c>
      <c r="B255" s="44" t="s">
        <v>220</v>
      </c>
      <c r="C255" s="44">
        <v>2</v>
      </c>
      <c r="D255" s="44" t="s">
        <v>314</v>
      </c>
      <c r="E255" s="44" t="s">
        <v>186</v>
      </c>
      <c r="F255" s="44" t="s">
        <v>235</v>
      </c>
      <c r="G255" s="15">
        <f>'10_Raw_Segment_Results'!J11</f>
        <v>0.432</v>
      </c>
      <c r="H255" s="62" t="s">
        <v>624</v>
      </c>
      <c r="I255" s="62" t="s">
        <v>565</v>
      </c>
    </row>
    <row r="256" spans="1:9">
      <c r="A256" s="44" t="s">
        <v>313</v>
      </c>
      <c r="B256" s="44" t="s">
        <v>220</v>
      </c>
      <c r="C256" s="44">
        <v>2</v>
      </c>
      <c r="D256" s="44" t="s">
        <v>316</v>
      </c>
      <c r="E256" s="44" t="s">
        <v>225</v>
      </c>
      <c r="F256" s="44" t="s">
        <v>221</v>
      </c>
      <c r="G256" s="9">
        <f>'10_Raw_Segment_Results'!C12</f>
        <v>7382</v>
      </c>
      <c r="H256" s="62" t="s">
        <v>624</v>
      </c>
      <c r="I256" s="62" t="s">
        <v>493</v>
      </c>
    </row>
    <row r="257" spans="1:9">
      <c r="A257" s="44" t="s">
        <v>313</v>
      </c>
      <c r="B257" s="44" t="s">
        <v>220</v>
      </c>
      <c r="C257" s="44">
        <v>2</v>
      </c>
      <c r="D257" s="44" t="s">
        <v>316</v>
      </c>
      <c r="E257" s="44" t="s">
        <v>150</v>
      </c>
      <c r="F257" s="44" t="s">
        <v>221</v>
      </c>
      <c r="G257" s="9">
        <f>'10_Raw_Segment_Results'!D12</f>
        <v>6061</v>
      </c>
      <c r="H257" s="62" t="s">
        <v>624</v>
      </c>
      <c r="I257" s="62" t="s">
        <v>494</v>
      </c>
    </row>
    <row r="258" spans="1:9">
      <c r="A258" s="44" t="s">
        <v>313</v>
      </c>
      <c r="B258" s="44" t="s">
        <v>220</v>
      </c>
      <c r="C258" s="44">
        <v>2</v>
      </c>
      <c r="D258" s="44" t="s">
        <v>316</v>
      </c>
      <c r="E258" s="44" t="s">
        <v>155</v>
      </c>
      <c r="F258" s="44" t="s">
        <v>221</v>
      </c>
      <c r="G258" s="9">
        <f>'10_Raw_Segment_Results'!E12</f>
        <v>1321</v>
      </c>
      <c r="H258" s="62" t="s">
        <v>624</v>
      </c>
      <c r="I258" s="62" t="s">
        <v>495</v>
      </c>
    </row>
    <row r="259" spans="1:9">
      <c r="A259" s="44" t="s">
        <v>313</v>
      </c>
      <c r="B259" s="44" t="s">
        <v>220</v>
      </c>
      <c r="C259" s="44">
        <v>2</v>
      </c>
      <c r="D259" s="44" t="s">
        <v>316</v>
      </c>
      <c r="E259" s="44" t="s">
        <v>161</v>
      </c>
      <c r="F259" s="44" t="s">
        <v>221</v>
      </c>
      <c r="G259" s="9">
        <f>'10_Raw_Segment_Results'!F12</f>
        <v>975</v>
      </c>
      <c r="H259" s="62" t="s">
        <v>624</v>
      </c>
      <c r="I259" s="62" t="s">
        <v>568</v>
      </c>
    </row>
    <row r="260" spans="1:9">
      <c r="A260" s="44" t="s">
        <v>313</v>
      </c>
      <c r="B260" s="44" t="s">
        <v>220</v>
      </c>
      <c r="C260" s="44">
        <v>2</v>
      </c>
      <c r="D260" s="44" t="s">
        <v>316</v>
      </c>
      <c r="E260" s="44" t="s">
        <v>226</v>
      </c>
      <c r="F260" s="44" t="s">
        <v>221</v>
      </c>
      <c r="G260" s="9">
        <f>'10_Raw_Segment_Results'!G12</f>
        <v>2512</v>
      </c>
      <c r="H260" s="62" t="s">
        <v>624</v>
      </c>
      <c r="I260" s="62" t="s">
        <v>569</v>
      </c>
    </row>
    <row r="261" spans="1:9">
      <c r="A261" s="44" t="s">
        <v>313</v>
      </c>
      <c r="B261" s="44" t="s">
        <v>220</v>
      </c>
      <c r="C261" s="44">
        <v>2</v>
      </c>
      <c r="D261" s="44" t="s">
        <v>316</v>
      </c>
      <c r="E261" s="44" t="s">
        <v>229</v>
      </c>
      <c r="F261" s="44" t="s">
        <v>221</v>
      </c>
      <c r="G261" s="9">
        <f>'10_Raw_Segment_Results'!H12</f>
        <v>2818</v>
      </c>
      <c r="H261" s="62" t="s">
        <v>624</v>
      </c>
      <c r="I261" s="62" t="s">
        <v>570</v>
      </c>
    </row>
    <row r="262" spans="1:9">
      <c r="A262" s="44" t="s">
        <v>313</v>
      </c>
      <c r="B262" s="44" t="s">
        <v>220</v>
      </c>
      <c r="C262" s="44">
        <v>2</v>
      </c>
      <c r="D262" s="44" t="s">
        <v>316</v>
      </c>
      <c r="E262" s="44" t="s">
        <v>183</v>
      </c>
      <c r="F262" s="44" t="s">
        <v>235</v>
      </c>
      <c r="G262" s="15">
        <f>'10_Raw_Segment_Results'!I12</f>
        <v>0.185</v>
      </c>
      <c r="H262" s="62" t="s">
        <v>624</v>
      </c>
      <c r="I262" s="62" t="s">
        <v>571</v>
      </c>
    </row>
    <row r="263" spans="1:9">
      <c r="A263" s="44" t="s">
        <v>313</v>
      </c>
      <c r="B263" s="44" t="s">
        <v>220</v>
      </c>
      <c r="C263" s="44">
        <v>2</v>
      </c>
      <c r="D263" s="44" t="s">
        <v>316</v>
      </c>
      <c r="E263" s="44" t="s">
        <v>186</v>
      </c>
      <c r="F263" s="44" t="s">
        <v>235</v>
      </c>
      <c r="G263" s="15">
        <f>'10_Raw_Segment_Results'!J12</f>
        <v>0.34</v>
      </c>
      <c r="H263" s="62" t="s">
        <v>624</v>
      </c>
      <c r="I263" s="62" t="s">
        <v>572</v>
      </c>
    </row>
    <row r="264" spans="1:9">
      <c r="A264" s="44" t="s">
        <v>313</v>
      </c>
      <c r="B264" s="44" t="s">
        <v>220</v>
      </c>
      <c r="C264" s="44">
        <v>2</v>
      </c>
      <c r="D264" s="44" t="s">
        <v>317</v>
      </c>
      <c r="E264" s="44" t="s">
        <v>225</v>
      </c>
      <c r="F264" s="44" t="s">
        <v>221</v>
      </c>
      <c r="G264" s="9">
        <f>'10_Raw_Segment_Results'!C13</f>
        <v>19626</v>
      </c>
      <c r="H264" s="62" t="s">
        <v>624</v>
      </c>
      <c r="I264" s="62" t="s">
        <v>496</v>
      </c>
    </row>
    <row r="265" spans="1:9">
      <c r="A265" s="44" t="s">
        <v>313</v>
      </c>
      <c r="B265" s="44" t="s">
        <v>220</v>
      </c>
      <c r="C265" s="44">
        <v>2</v>
      </c>
      <c r="D265" s="44" t="s">
        <v>317</v>
      </c>
      <c r="E265" s="44" t="s">
        <v>150</v>
      </c>
      <c r="F265" s="44" t="s">
        <v>221</v>
      </c>
      <c r="G265" s="9">
        <f>'10_Raw_Segment_Results'!D13</f>
        <v>4979</v>
      </c>
      <c r="H265" s="62" t="s">
        <v>624</v>
      </c>
      <c r="I265" s="62" t="s">
        <v>497</v>
      </c>
    </row>
    <row r="266" spans="1:9">
      <c r="A266" s="44" t="s">
        <v>313</v>
      </c>
      <c r="B266" s="44" t="s">
        <v>220</v>
      </c>
      <c r="C266" s="44">
        <v>2</v>
      </c>
      <c r="D266" s="44" t="s">
        <v>317</v>
      </c>
      <c r="E266" s="44" t="s">
        <v>155</v>
      </c>
      <c r="F266" s="44" t="s">
        <v>221</v>
      </c>
      <c r="G266" s="9">
        <f>'10_Raw_Segment_Results'!E13</f>
        <v>14647</v>
      </c>
      <c r="H266" s="62" t="s">
        <v>624</v>
      </c>
      <c r="I266" s="62" t="s">
        <v>498</v>
      </c>
    </row>
    <row r="267" spans="1:9">
      <c r="A267" s="44" t="s">
        <v>313</v>
      </c>
      <c r="B267" s="44" t="s">
        <v>220</v>
      </c>
      <c r="C267" s="44">
        <v>2</v>
      </c>
      <c r="D267" s="44" t="s">
        <v>317</v>
      </c>
      <c r="E267" s="44" t="s">
        <v>161</v>
      </c>
      <c r="F267" s="44" t="s">
        <v>221</v>
      </c>
      <c r="G267" s="9">
        <f>'10_Raw_Segment_Results'!F13</f>
        <v>29</v>
      </c>
      <c r="H267" s="62" t="s">
        <v>624</v>
      </c>
      <c r="I267" s="62" t="s">
        <v>575</v>
      </c>
    </row>
    <row r="268" spans="1:9">
      <c r="A268" s="44" t="s">
        <v>313</v>
      </c>
      <c r="B268" s="44" t="s">
        <v>220</v>
      </c>
      <c r="C268" s="44">
        <v>2</v>
      </c>
      <c r="D268" s="44" t="s">
        <v>317</v>
      </c>
      <c r="E268" s="44" t="s">
        <v>226</v>
      </c>
      <c r="F268" s="44" t="s">
        <v>221</v>
      </c>
      <c r="G268" s="9">
        <f>'10_Raw_Segment_Results'!G13</f>
        <v>15312</v>
      </c>
      <c r="H268" s="62" t="s">
        <v>624</v>
      </c>
      <c r="I268" s="62" t="s">
        <v>576</v>
      </c>
    </row>
    <row r="269" spans="1:9">
      <c r="A269" s="44" t="s">
        <v>313</v>
      </c>
      <c r="B269" s="44" t="s">
        <v>220</v>
      </c>
      <c r="C269" s="44">
        <v>2</v>
      </c>
      <c r="D269" s="44" t="s">
        <v>317</v>
      </c>
      <c r="E269" s="44" t="s">
        <v>229</v>
      </c>
      <c r="F269" s="44" t="s">
        <v>221</v>
      </c>
      <c r="G269" s="9">
        <f>'10_Raw_Segment_Results'!H13</f>
        <v>3422</v>
      </c>
      <c r="H269" s="62" t="s">
        <v>624</v>
      </c>
      <c r="I269" s="62" t="s">
        <v>577</v>
      </c>
    </row>
    <row r="270" spans="1:9">
      <c r="A270" s="44" t="s">
        <v>313</v>
      </c>
      <c r="B270" s="44" t="s">
        <v>220</v>
      </c>
      <c r="C270" s="44">
        <v>2</v>
      </c>
      <c r="D270" s="44" t="s">
        <v>317</v>
      </c>
      <c r="E270" s="44" t="s">
        <v>183</v>
      </c>
      <c r="F270" s="44" t="s">
        <v>235</v>
      </c>
      <c r="G270" s="15">
        <f>'10_Raw_Segment_Results'!I13</f>
        <v>0.14399999999999999</v>
      </c>
      <c r="H270" s="62" t="s">
        <v>624</v>
      </c>
      <c r="I270" s="62" t="s">
        <v>578</v>
      </c>
    </row>
    <row r="271" spans="1:9">
      <c r="A271" s="44" t="s">
        <v>313</v>
      </c>
      <c r="B271" s="44" t="s">
        <v>220</v>
      </c>
      <c r="C271" s="44">
        <v>2</v>
      </c>
      <c r="D271" s="44" t="s">
        <v>317</v>
      </c>
      <c r="E271" s="44" t="s">
        <v>186</v>
      </c>
      <c r="F271" s="44" t="s">
        <v>235</v>
      </c>
      <c r="G271" s="15"/>
      <c r="H271" s="62" t="s">
        <v>624</v>
      </c>
      <c r="I271" s="62" t="s">
        <v>579</v>
      </c>
    </row>
    <row r="272" spans="1:9">
      <c r="A272" s="44" t="s">
        <v>313</v>
      </c>
      <c r="B272" s="44" t="s">
        <v>220</v>
      </c>
      <c r="C272" s="44">
        <v>2</v>
      </c>
      <c r="D272" s="44" t="s">
        <v>318</v>
      </c>
      <c r="E272" s="44" t="s">
        <v>225</v>
      </c>
      <c r="F272" s="44" t="s">
        <v>221</v>
      </c>
      <c r="G272" s="9">
        <f>'10_Raw_Segment_Results'!C14</f>
        <v>1224</v>
      </c>
      <c r="H272" s="62" t="s">
        <v>624</v>
      </c>
      <c r="I272" s="62" t="s">
        <v>499</v>
      </c>
    </row>
    <row r="273" spans="1:9">
      <c r="A273" s="44" t="s">
        <v>313</v>
      </c>
      <c r="B273" s="44" t="s">
        <v>220</v>
      </c>
      <c r="C273" s="44">
        <v>2</v>
      </c>
      <c r="D273" s="44" t="s">
        <v>318</v>
      </c>
      <c r="E273" s="44" t="s">
        <v>150</v>
      </c>
      <c r="F273" s="44" t="s">
        <v>221</v>
      </c>
      <c r="G273" s="9"/>
      <c r="H273" s="62" t="s">
        <v>624</v>
      </c>
      <c r="I273" s="62" t="s">
        <v>500</v>
      </c>
    </row>
    <row r="274" spans="1:9">
      <c r="A274" s="44" t="s">
        <v>313</v>
      </c>
      <c r="B274" s="44" t="s">
        <v>220</v>
      </c>
      <c r="C274" s="44">
        <v>2</v>
      </c>
      <c r="D274" s="44" t="s">
        <v>318</v>
      </c>
      <c r="E274" s="44" t="s">
        <v>155</v>
      </c>
      <c r="F274" s="44" t="s">
        <v>221</v>
      </c>
      <c r="G274" s="9"/>
      <c r="H274" s="62" t="s">
        <v>624</v>
      </c>
      <c r="I274" s="62" t="s">
        <v>501</v>
      </c>
    </row>
    <row r="275" spans="1:9">
      <c r="A275" s="44" t="s">
        <v>313</v>
      </c>
      <c r="B275" s="44" t="s">
        <v>220</v>
      </c>
      <c r="C275" s="44">
        <v>2</v>
      </c>
      <c r="D275" s="44" t="s">
        <v>318</v>
      </c>
      <c r="E275" s="44" t="s">
        <v>161</v>
      </c>
      <c r="F275" s="44" t="s">
        <v>221</v>
      </c>
      <c r="G275" s="9">
        <f>'10_Raw_Segment_Results'!F14</f>
        <v>0</v>
      </c>
      <c r="H275" s="62" t="s">
        <v>624</v>
      </c>
      <c r="I275" s="62" t="s">
        <v>582</v>
      </c>
    </row>
    <row r="276" spans="1:9">
      <c r="A276" s="44" t="s">
        <v>313</v>
      </c>
      <c r="B276" s="44" t="s">
        <v>220</v>
      </c>
      <c r="C276" s="44">
        <v>2</v>
      </c>
      <c r="D276" s="44" t="s">
        <v>318</v>
      </c>
      <c r="E276" s="44" t="s">
        <v>226</v>
      </c>
      <c r="F276" s="44" t="s">
        <v>221</v>
      </c>
      <c r="G276" s="9">
        <f>'10_Raw_Segment_Results'!G14</f>
        <v>285</v>
      </c>
      <c r="H276" s="62" t="s">
        <v>624</v>
      </c>
      <c r="I276" s="62" t="s">
        <v>583</v>
      </c>
    </row>
    <row r="277" spans="1:9">
      <c r="A277" s="44" t="s">
        <v>313</v>
      </c>
      <c r="B277" s="44" t="s">
        <v>220</v>
      </c>
      <c r="C277" s="44">
        <v>2</v>
      </c>
      <c r="D277" s="44" t="s">
        <v>318</v>
      </c>
      <c r="E277" s="44" t="s">
        <v>229</v>
      </c>
      <c r="F277" s="44" t="s">
        <v>221</v>
      </c>
      <c r="G277" s="9">
        <f>'10_Raw_Segment_Results'!H14</f>
        <v>729</v>
      </c>
      <c r="H277" s="62" t="s">
        <v>624</v>
      </c>
      <c r="I277" s="62" t="s">
        <v>584</v>
      </c>
    </row>
    <row r="278" spans="1:9">
      <c r="A278" s="44" t="s">
        <v>313</v>
      </c>
      <c r="B278" s="44" t="s">
        <v>220</v>
      </c>
      <c r="C278" s="44">
        <v>2</v>
      </c>
      <c r="D278" s="44" t="s">
        <v>318</v>
      </c>
      <c r="E278" s="44" t="s">
        <v>183</v>
      </c>
      <c r="F278" s="44" t="s">
        <v>235</v>
      </c>
      <c r="G278" s="15">
        <f>'10_Raw_Segment_Results'!I14</f>
        <v>0.35299999999999998</v>
      </c>
      <c r="H278" s="62" t="s">
        <v>624</v>
      </c>
      <c r="I278" s="62" t="s">
        <v>585</v>
      </c>
    </row>
    <row r="279" spans="1:9">
      <c r="A279" s="44" t="s">
        <v>313</v>
      </c>
      <c r="B279" s="44" t="s">
        <v>220</v>
      </c>
      <c r="C279" s="44">
        <v>2</v>
      </c>
      <c r="D279" s="44" t="s">
        <v>318</v>
      </c>
      <c r="E279" s="44" t="s">
        <v>186</v>
      </c>
      <c r="F279" s="44" t="s">
        <v>235</v>
      </c>
      <c r="G279" s="15"/>
      <c r="H279" s="62" t="s">
        <v>624</v>
      </c>
      <c r="I279" s="62" t="s">
        <v>586</v>
      </c>
    </row>
    <row r="280" spans="1:9">
      <c r="A280" s="44" t="s">
        <v>313</v>
      </c>
      <c r="B280" s="44" t="s">
        <v>220</v>
      </c>
      <c r="C280" s="44">
        <v>2</v>
      </c>
      <c r="D280" s="44" t="s">
        <v>319</v>
      </c>
      <c r="E280" s="44" t="s">
        <v>225</v>
      </c>
      <c r="F280" s="44" t="s">
        <v>221</v>
      </c>
      <c r="G280" s="9">
        <f>'10_Raw_Segment_Results'!C15</f>
        <v>12012</v>
      </c>
      <c r="H280" s="62" t="s">
        <v>624</v>
      </c>
      <c r="I280" s="62" t="s">
        <v>502</v>
      </c>
    </row>
    <row r="281" spans="1:9">
      <c r="A281" s="44" t="s">
        <v>313</v>
      </c>
      <c r="B281" s="44" t="s">
        <v>220</v>
      </c>
      <c r="C281" s="44">
        <v>2</v>
      </c>
      <c r="D281" s="44" t="s">
        <v>319</v>
      </c>
      <c r="E281" s="44" t="s">
        <v>150</v>
      </c>
      <c r="F281" s="44" t="s">
        <v>221</v>
      </c>
      <c r="G281" s="9">
        <f>'10_Raw_Segment_Results'!D15</f>
        <v>3183</v>
      </c>
      <c r="H281" s="62" t="s">
        <v>624</v>
      </c>
      <c r="I281" s="62" t="s">
        <v>503</v>
      </c>
    </row>
    <row r="282" spans="1:9">
      <c r="A282" s="44" t="s">
        <v>313</v>
      </c>
      <c r="B282" s="44" t="s">
        <v>220</v>
      </c>
      <c r="C282" s="44">
        <v>2</v>
      </c>
      <c r="D282" s="44" t="s">
        <v>319</v>
      </c>
      <c r="E282" s="44" t="s">
        <v>155</v>
      </c>
      <c r="F282" s="44" t="s">
        <v>221</v>
      </c>
      <c r="G282" s="9">
        <f>'10_Raw_Segment_Results'!E15</f>
        <v>8829</v>
      </c>
      <c r="H282" s="62" t="s">
        <v>624</v>
      </c>
      <c r="I282" s="62" t="s">
        <v>504</v>
      </c>
    </row>
    <row r="283" spans="1:9">
      <c r="A283" s="44" t="s">
        <v>313</v>
      </c>
      <c r="B283" s="44" t="s">
        <v>220</v>
      </c>
      <c r="C283" s="44">
        <v>2</v>
      </c>
      <c r="D283" s="44" t="s">
        <v>319</v>
      </c>
      <c r="E283" s="44" t="s">
        <v>161</v>
      </c>
      <c r="F283" s="44" t="s">
        <v>221</v>
      </c>
      <c r="G283" s="9">
        <f>'10_Raw_Segment_Results'!F15</f>
        <v>424</v>
      </c>
      <c r="H283" s="62" t="s">
        <v>624</v>
      </c>
      <c r="I283" s="62" t="s">
        <v>589</v>
      </c>
    </row>
    <row r="284" spans="1:9">
      <c r="A284" s="44" t="s">
        <v>313</v>
      </c>
      <c r="B284" s="44" t="s">
        <v>220</v>
      </c>
      <c r="C284" s="44">
        <v>2</v>
      </c>
      <c r="D284" s="44" t="s">
        <v>319</v>
      </c>
      <c r="E284" s="44" t="s">
        <v>226</v>
      </c>
      <c r="F284" s="44" t="s">
        <v>221</v>
      </c>
      <c r="G284" s="9">
        <f>'10_Raw_Segment_Results'!G15</f>
        <v>7016</v>
      </c>
      <c r="H284" s="62" t="s">
        <v>624</v>
      </c>
      <c r="I284" s="62" t="s">
        <v>590</v>
      </c>
    </row>
    <row r="285" spans="1:9">
      <c r="A285" s="44" t="s">
        <v>313</v>
      </c>
      <c r="B285" s="44" t="s">
        <v>220</v>
      </c>
      <c r="C285" s="44">
        <v>2</v>
      </c>
      <c r="D285" s="44" t="s">
        <v>319</v>
      </c>
      <c r="E285" s="44" t="s">
        <v>229</v>
      </c>
      <c r="F285" s="44" t="s">
        <v>221</v>
      </c>
      <c r="G285" s="9">
        <f>'10_Raw_Segment_Results'!H15</f>
        <v>4573</v>
      </c>
      <c r="H285" s="62" t="s">
        <v>624</v>
      </c>
      <c r="I285" s="62" t="s">
        <v>591</v>
      </c>
    </row>
    <row r="286" spans="1:9">
      <c r="A286" s="44" t="s">
        <v>313</v>
      </c>
      <c r="B286" s="44" t="s">
        <v>220</v>
      </c>
      <c r="C286" s="44">
        <v>2</v>
      </c>
      <c r="D286" s="44" t="s">
        <v>319</v>
      </c>
      <c r="E286" s="44" t="s">
        <v>183</v>
      </c>
      <c r="F286" s="44" t="s">
        <v>235</v>
      </c>
      <c r="G286" s="15">
        <f>'10_Raw_Segment_Results'!I15</f>
        <v>0.14199999999999999</v>
      </c>
      <c r="H286" s="62" t="s">
        <v>624</v>
      </c>
      <c r="I286" s="62" t="s">
        <v>592</v>
      </c>
    </row>
    <row r="287" spans="1:9">
      <c r="A287" s="44" t="s">
        <v>313</v>
      </c>
      <c r="B287" s="44" t="s">
        <v>220</v>
      </c>
      <c r="C287" s="44">
        <v>2</v>
      </c>
      <c r="D287" s="44" t="s">
        <v>319</v>
      </c>
      <c r="E287" s="44" t="s">
        <v>186</v>
      </c>
      <c r="F287" s="44" t="s">
        <v>235</v>
      </c>
      <c r="G287" s="15"/>
      <c r="H287" s="62" t="s">
        <v>624</v>
      </c>
      <c r="I287" s="62" t="s">
        <v>593</v>
      </c>
    </row>
    <row r="288" spans="1:9">
      <c r="A288" s="44" t="s">
        <v>313</v>
      </c>
      <c r="B288" s="44" t="s">
        <v>220</v>
      </c>
      <c r="C288" s="44">
        <v>2</v>
      </c>
      <c r="D288" s="44" t="s">
        <v>320</v>
      </c>
      <c r="E288" s="44" t="s">
        <v>225</v>
      </c>
      <c r="F288" s="44" t="s">
        <v>221</v>
      </c>
      <c r="G288" s="9">
        <f>'10_Raw_Segment_Results'!C16</f>
        <v>-242</v>
      </c>
      <c r="H288" s="62" t="s">
        <v>624</v>
      </c>
      <c r="I288" s="62" t="s">
        <v>505</v>
      </c>
    </row>
    <row r="289" spans="1:9">
      <c r="A289" s="44" t="s">
        <v>313</v>
      </c>
      <c r="B289" s="44" t="s">
        <v>220</v>
      </c>
      <c r="C289" s="44">
        <v>2</v>
      </c>
      <c r="D289" s="44" t="s">
        <v>320</v>
      </c>
      <c r="E289" s="44" t="s">
        <v>150</v>
      </c>
      <c r="F289" s="44" t="s">
        <v>221</v>
      </c>
      <c r="G289" s="9">
        <f>'10_Raw_Segment_Results'!D16</f>
        <v>1292</v>
      </c>
      <c r="H289" s="62" t="s">
        <v>624</v>
      </c>
      <c r="I289" s="62" t="s">
        <v>506</v>
      </c>
    </row>
    <row r="290" spans="1:9">
      <c r="A290" s="44" t="s">
        <v>313</v>
      </c>
      <c r="B290" s="44" t="s">
        <v>220</v>
      </c>
      <c r="C290" s="44">
        <v>2</v>
      </c>
      <c r="D290" s="44" t="s">
        <v>320</v>
      </c>
      <c r="E290" s="44" t="s">
        <v>155</v>
      </c>
      <c r="F290" s="44" t="s">
        <v>221</v>
      </c>
      <c r="G290" s="9">
        <f>'10_Raw_Segment_Results'!E16</f>
        <v>-2033</v>
      </c>
      <c r="H290" s="62" t="s">
        <v>624</v>
      </c>
      <c r="I290" s="62" t="s">
        <v>507</v>
      </c>
    </row>
    <row r="291" spans="1:9">
      <c r="A291" s="44" t="s">
        <v>313</v>
      </c>
      <c r="B291" s="44" t="s">
        <v>220</v>
      </c>
      <c r="C291" s="44">
        <v>2</v>
      </c>
      <c r="D291" s="44" t="s">
        <v>320</v>
      </c>
      <c r="E291" s="44" t="s">
        <v>161</v>
      </c>
      <c r="F291" s="44" t="s">
        <v>221</v>
      </c>
      <c r="G291" s="9">
        <f>'10_Raw_Segment_Results'!F16</f>
        <v>0</v>
      </c>
      <c r="H291" s="62" t="s">
        <v>624</v>
      </c>
      <c r="I291" s="62" t="s">
        <v>596</v>
      </c>
    </row>
    <row r="292" spans="1:9">
      <c r="A292" s="44" t="s">
        <v>313</v>
      </c>
      <c r="B292" s="44" t="s">
        <v>220</v>
      </c>
      <c r="C292" s="44">
        <v>2</v>
      </c>
      <c r="D292" s="44" t="s">
        <v>320</v>
      </c>
      <c r="E292" s="44" t="s">
        <v>226</v>
      </c>
      <c r="F292" s="44" t="s">
        <v>221</v>
      </c>
      <c r="G292" s="9">
        <f>'10_Raw_Segment_Results'!G16</f>
        <v>1167</v>
      </c>
      <c r="H292" s="62" t="s">
        <v>624</v>
      </c>
      <c r="I292" s="62" t="s">
        <v>597</v>
      </c>
    </row>
    <row r="293" spans="1:9">
      <c r="A293" s="44" t="s">
        <v>313</v>
      </c>
      <c r="B293" s="44" t="s">
        <v>220</v>
      </c>
      <c r="C293" s="44">
        <v>2</v>
      </c>
      <c r="D293" s="44" t="s">
        <v>320</v>
      </c>
      <c r="E293" s="44" t="s">
        <v>229</v>
      </c>
      <c r="F293" s="44" t="s">
        <v>221</v>
      </c>
      <c r="G293" s="9">
        <f>'10_Raw_Segment_Results'!H16</f>
        <v>-1223</v>
      </c>
      <c r="H293" s="62" t="s">
        <v>624</v>
      </c>
      <c r="I293" s="62" t="s">
        <v>598</v>
      </c>
    </row>
    <row r="294" spans="1:9">
      <c r="A294" s="44" t="s">
        <v>313</v>
      </c>
      <c r="B294" s="44" t="s">
        <v>220</v>
      </c>
      <c r="C294" s="44">
        <v>2</v>
      </c>
      <c r="D294" s="44" t="s">
        <v>320</v>
      </c>
      <c r="E294" s="44" t="s">
        <v>183</v>
      </c>
      <c r="F294" s="44" t="s">
        <v>235</v>
      </c>
      <c r="G294" s="15"/>
      <c r="H294" s="62" t="s">
        <v>624</v>
      </c>
      <c r="I294" s="62" t="s">
        <v>599</v>
      </c>
    </row>
    <row r="295" spans="1:9">
      <c r="A295" s="44" t="s">
        <v>313</v>
      </c>
      <c r="B295" s="44" t="s">
        <v>220</v>
      </c>
      <c r="C295" s="44">
        <v>2</v>
      </c>
      <c r="D295" s="44" t="s">
        <v>320</v>
      </c>
      <c r="E295" s="44" t="s">
        <v>186</v>
      </c>
      <c r="F295" s="44" t="s">
        <v>235</v>
      </c>
      <c r="G295" s="15"/>
      <c r="H295" s="62" t="s">
        <v>624</v>
      </c>
      <c r="I295" s="62" t="s">
        <v>600</v>
      </c>
    </row>
    <row r="296" spans="1:9">
      <c r="A296" s="44" t="s">
        <v>313</v>
      </c>
      <c r="B296" s="44" t="s">
        <v>105</v>
      </c>
      <c r="C296" s="44">
        <v>3</v>
      </c>
      <c r="D296" s="44" t="s">
        <v>314</v>
      </c>
      <c r="E296" s="44" t="s">
        <v>225</v>
      </c>
      <c r="F296" s="44" t="s">
        <v>221</v>
      </c>
      <c r="G296" s="9">
        <f>'10_Raw_Segment_Results'!C17</f>
        <v>19854</v>
      </c>
      <c r="H296" s="62" t="s">
        <v>624</v>
      </c>
      <c r="I296" s="62" t="s">
        <v>508</v>
      </c>
    </row>
    <row r="297" spans="1:9">
      <c r="A297" s="44" t="s">
        <v>313</v>
      </c>
      <c r="B297" s="44" t="s">
        <v>105</v>
      </c>
      <c r="C297" s="44">
        <v>3</v>
      </c>
      <c r="D297" s="44" t="s">
        <v>314</v>
      </c>
      <c r="E297" s="44" t="s">
        <v>150</v>
      </c>
      <c r="F297" s="44" t="s">
        <v>221</v>
      </c>
      <c r="G297" s="9">
        <f>'10_Raw_Segment_Results'!D17</f>
        <v>14496</v>
      </c>
      <c r="H297" s="62" t="s">
        <v>624</v>
      </c>
      <c r="I297" s="62" t="s">
        <v>509</v>
      </c>
    </row>
    <row r="298" spans="1:9">
      <c r="A298" s="44" t="s">
        <v>313</v>
      </c>
      <c r="B298" s="44" t="s">
        <v>105</v>
      </c>
      <c r="C298" s="44">
        <v>3</v>
      </c>
      <c r="D298" s="44" t="s">
        <v>314</v>
      </c>
      <c r="E298" s="44" t="s">
        <v>155</v>
      </c>
      <c r="F298" s="44" t="s">
        <v>221</v>
      </c>
      <c r="G298" s="9">
        <f>'10_Raw_Segment_Results'!E17</f>
        <v>5358</v>
      </c>
      <c r="H298" s="62" t="s">
        <v>624</v>
      </c>
      <c r="I298" s="62" t="s">
        <v>510</v>
      </c>
    </row>
    <row r="299" spans="1:9">
      <c r="A299" s="44" t="s">
        <v>313</v>
      </c>
      <c r="B299" s="44" t="s">
        <v>105</v>
      </c>
      <c r="C299" s="44">
        <v>3</v>
      </c>
      <c r="D299" s="44" t="s">
        <v>314</v>
      </c>
      <c r="E299" s="44" t="s">
        <v>161</v>
      </c>
      <c r="F299" s="44" t="s">
        <v>221</v>
      </c>
      <c r="G299" s="9">
        <f>'10_Raw_Segment_Results'!F17</f>
        <v>2105</v>
      </c>
      <c r="H299" s="62" t="s">
        <v>624</v>
      </c>
      <c r="I299" s="62" t="s">
        <v>603</v>
      </c>
    </row>
    <row r="300" spans="1:9">
      <c r="A300" s="44" t="s">
        <v>313</v>
      </c>
      <c r="B300" s="44" t="s">
        <v>105</v>
      </c>
      <c r="C300" s="44">
        <v>3</v>
      </c>
      <c r="D300" s="44" t="s">
        <v>314</v>
      </c>
      <c r="E300" s="44" t="s">
        <v>226</v>
      </c>
      <c r="F300" s="44" t="s">
        <v>221</v>
      </c>
      <c r="G300" s="9">
        <f>'10_Raw_Segment_Results'!G17</f>
        <v>8001</v>
      </c>
      <c r="H300" s="62" t="s">
        <v>624</v>
      </c>
      <c r="I300" s="62" t="s">
        <v>604</v>
      </c>
    </row>
    <row r="301" spans="1:9">
      <c r="A301" s="44" t="s">
        <v>313</v>
      </c>
      <c r="B301" s="44" t="s">
        <v>105</v>
      </c>
      <c r="C301" s="44">
        <v>3</v>
      </c>
      <c r="D301" s="44" t="s">
        <v>314</v>
      </c>
      <c r="E301" s="44" t="s">
        <v>229</v>
      </c>
      <c r="F301" s="44" t="s">
        <v>221</v>
      </c>
      <c r="G301" s="9">
        <f>'10_Raw_Segment_Results'!H17</f>
        <v>7105</v>
      </c>
      <c r="H301" s="62" t="s">
        <v>624</v>
      </c>
      <c r="I301" s="62" t="s">
        <v>605</v>
      </c>
    </row>
    <row r="302" spans="1:9">
      <c r="A302" s="44" t="s">
        <v>313</v>
      </c>
      <c r="B302" s="44" t="s">
        <v>105</v>
      </c>
      <c r="C302" s="44">
        <v>3</v>
      </c>
      <c r="D302" s="44" t="s">
        <v>314</v>
      </c>
      <c r="E302" s="44" t="s">
        <v>183</v>
      </c>
      <c r="F302" s="44" t="s">
        <v>235</v>
      </c>
      <c r="G302" s="15">
        <f>'10_Raw_Segment_Results'!I17</f>
        <v>0.249</v>
      </c>
      <c r="H302" s="62" t="s">
        <v>624</v>
      </c>
      <c r="I302" s="62" t="s">
        <v>606</v>
      </c>
    </row>
    <row r="303" spans="1:9">
      <c r="A303" s="44" t="s">
        <v>313</v>
      </c>
      <c r="B303" s="44" t="s">
        <v>105</v>
      </c>
      <c r="C303" s="44">
        <v>3</v>
      </c>
      <c r="D303" s="44" t="s">
        <v>314</v>
      </c>
      <c r="E303" s="44" t="s">
        <v>186</v>
      </c>
      <c r="F303" s="44" t="s">
        <v>235</v>
      </c>
      <c r="G303" s="15">
        <f>'10_Raw_Segment_Results'!J17</f>
        <v>0.40300000000000002</v>
      </c>
      <c r="H303" s="62" t="s">
        <v>624</v>
      </c>
      <c r="I303" s="62" t="s">
        <v>607</v>
      </c>
    </row>
    <row r="304" spans="1:9">
      <c r="A304" s="44" t="s">
        <v>313</v>
      </c>
      <c r="B304" s="44" t="s">
        <v>105</v>
      </c>
      <c r="C304" s="44">
        <v>3</v>
      </c>
      <c r="D304" s="44" t="s">
        <v>316</v>
      </c>
      <c r="E304" s="44" t="s">
        <v>225</v>
      </c>
      <c r="F304" s="44" t="s">
        <v>221</v>
      </c>
      <c r="G304" s="9">
        <f>'10_Raw_Segment_Results'!C18</f>
        <v>8562</v>
      </c>
      <c r="H304" s="62" t="s">
        <v>624</v>
      </c>
      <c r="I304" s="62" t="s">
        <v>511</v>
      </c>
    </row>
    <row r="305" spans="1:9">
      <c r="A305" s="44" t="s">
        <v>313</v>
      </c>
      <c r="B305" s="44" t="s">
        <v>105</v>
      </c>
      <c r="C305" s="44">
        <v>3</v>
      </c>
      <c r="D305" s="44" t="s">
        <v>316</v>
      </c>
      <c r="E305" s="44" t="s">
        <v>150</v>
      </c>
      <c r="F305" s="44" t="s">
        <v>221</v>
      </c>
      <c r="G305" s="9">
        <f>'10_Raw_Segment_Results'!D18</f>
        <v>7268</v>
      </c>
      <c r="H305" s="62" t="s">
        <v>624</v>
      </c>
      <c r="I305" s="62" t="s">
        <v>512</v>
      </c>
    </row>
    <row r="306" spans="1:9">
      <c r="A306" s="44" t="s">
        <v>313</v>
      </c>
      <c r="B306" s="44" t="s">
        <v>105</v>
      </c>
      <c r="C306" s="44">
        <v>3</v>
      </c>
      <c r="D306" s="44" t="s">
        <v>316</v>
      </c>
      <c r="E306" s="44" t="s">
        <v>155</v>
      </c>
      <c r="F306" s="44" t="s">
        <v>221</v>
      </c>
      <c r="G306" s="9">
        <f>'10_Raw_Segment_Results'!E18</f>
        <v>1294</v>
      </c>
      <c r="H306" s="62" t="s">
        <v>624</v>
      </c>
      <c r="I306" s="62" t="s">
        <v>513</v>
      </c>
    </row>
    <row r="307" spans="1:9">
      <c r="A307" s="44" t="s">
        <v>313</v>
      </c>
      <c r="B307" s="44" t="s">
        <v>105</v>
      </c>
      <c r="C307" s="44">
        <v>3</v>
      </c>
      <c r="D307" s="44" t="s">
        <v>316</v>
      </c>
      <c r="E307" s="44" t="s">
        <v>161</v>
      </c>
      <c r="F307" s="44" t="s">
        <v>221</v>
      </c>
      <c r="G307" s="9">
        <f>'10_Raw_Segment_Results'!F18</f>
        <v>1550</v>
      </c>
      <c r="H307" s="62" t="s">
        <v>624</v>
      </c>
      <c r="I307" s="62" t="s">
        <v>610</v>
      </c>
    </row>
    <row r="308" spans="1:9">
      <c r="A308" s="44" t="s">
        <v>313</v>
      </c>
      <c r="B308" s="44" t="s">
        <v>105</v>
      </c>
      <c r="C308" s="44">
        <v>3</v>
      </c>
      <c r="D308" s="44" t="s">
        <v>316</v>
      </c>
      <c r="E308" s="44" t="s">
        <v>226</v>
      </c>
      <c r="F308" s="44" t="s">
        <v>221</v>
      </c>
      <c r="G308" s="9">
        <f>'10_Raw_Segment_Results'!G18</f>
        <v>2833</v>
      </c>
      <c r="H308" s="62" t="s">
        <v>624</v>
      </c>
      <c r="I308" s="62" t="s">
        <v>611</v>
      </c>
    </row>
    <row r="309" spans="1:9">
      <c r="A309" s="44" t="s">
        <v>313</v>
      </c>
      <c r="B309" s="44" t="s">
        <v>105</v>
      </c>
      <c r="C309" s="44">
        <v>3</v>
      </c>
      <c r="D309" s="44" t="s">
        <v>316</v>
      </c>
      <c r="E309" s="44" t="s">
        <v>229</v>
      </c>
      <c r="F309" s="44" t="s">
        <v>221</v>
      </c>
      <c r="G309" s="9">
        <f>'10_Raw_Segment_Results'!H18</f>
        <v>3020</v>
      </c>
      <c r="H309" s="62" t="s">
        <v>624</v>
      </c>
      <c r="I309" s="62" t="s">
        <v>612</v>
      </c>
    </row>
    <row r="310" spans="1:9">
      <c r="A310" s="44" t="s">
        <v>313</v>
      </c>
      <c r="B310" s="44" t="s">
        <v>105</v>
      </c>
      <c r="C310" s="44">
        <v>3</v>
      </c>
      <c r="D310" s="44" t="s">
        <v>316</v>
      </c>
      <c r="E310" s="44" t="s">
        <v>183</v>
      </c>
      <c r="F310" s="44" t="s">
        <v>235</v>
      </c>
      <c r="G310" s="15">
        <f>'10_Raw_Segment_Results'!I18</f>
        <v>0.14899999999999999</v>
      </c>
      <c r="H310" s="62" t="s">
        <v>624</v>
      </c>
      <c r="I310" s="62" t="s">
        <v>613</v>
      </c>
    </row>
    <row r="311" spans="1:9">
      <c r="A311" s="44" t="s">
        <v>313</v>
      </c>
      <c r="B311" s="44" t="s">
        <v>105</v>
      </c>
      <c r="C311" s="44">
        <v>3</v>
      </c>
      <c r="D311" s="44" t="s">
        <v>316</v>
      </c>
      <c r="E311" s="44" t="s">
        <v>186</v>
      </c>
      <c r="F311" s="44" t="s">
        <v>235</v>
      </c>
      <c r="G311" s="15">
        <f>'10_Raw_Segment_Results'!J18</f>
        <v>0.33100000000000002</v>
      </c>
      <c r="H311" s="62" t="s">
        <v>624</v>
      </c>
      <c r="I311" s="62" t="s">
        <v>614</v>
      </c>
    </row>
    <row r="312" spans="1:9">
      <c r="A312" s="44" t="s">
        <v>313</v>
      </c>
      <c r="B312" s="44" t="s">
        <v>105</v>
      </c>
      <c r="C312" s="44">
        <v>3</v>
      </c>
      <c r="D312" s="44" t="s">
        <v>317</v>
      </c>
      <c r="E312" s="44" t="s">
        <v>225</v>
      </c>
      <c r="F312" s="44" t="s">
        <v>221</v>
      </c>
      <c r="G312" s="9">
        <f>'10_Raw_Segment_Results'!C19</f>
        <v>22378</v>
      </c>
      <c r="H312" s="62" t="s">
        <v>624</v>
      </c>
      <c r="I312" s="62" t="s">
        <v>514</v>
      </c>
    </row>
    <row r="313" spans="1:9">
      <c r="A313" s="44" t="s">
        <v>313</v>
      </c>
      <c r="B313" s="44" t="s">
        <v>105</v>
      </c>
      <c r="C313" s="44">
        <v>3</v>
      </c>
      <c r="D313" s="44" t="s">
        <v>317</v>
      </c>
      <c r="E313" s="44" t="s">
        <v>150</v>
      </c>
      <c r="F313" s="44" t="s">
        <v>221</v>
      </c>
      <c r="G313" s="9">
        <f>'10_Raw_Segment_Results'!D19</f>
        <v>5459</v>
      </c>
      <c r="H313" s="62" t="s">
        <v>624</v>
      </c>
      <c r="I313" s="62" t="s">
        <v>515</v>
      </c>
    </row>
    <row r="314" spans="1:9">
      <c r="A314" s="44" t="s">
        <v>313</v>
      </c>
      <c r="B314" s="44" t="s">
        <v>105</v>
      </c>
      <c r="C314" s="44">
        <v>3</v>
      </c>
      <c r="D314" s="44" t="s">
        <v>317</v>
      </c>
      <c r="E314" s="44" t="s">
        <v>155</v>
      </c>
      <c r="F314" s="44" t="s">
        <v>221</v>
      </c>
      <c r="G314" s="9">
        <f>'10_Raw_Segment_Results'!E19</f>
        <v>16919</v>
      </c>
      <c r="H314" s="62" t="s">
        <v>624</v>
      </c>
      <c r="I314" s="62" t="s">
        <v>516</v>
      </c>
    </row>
    <row r="315" spans="1:9">
      <c r="A315" s="44" t="s">
        <v>313</v>
      </c>
      <c r="B315" s="44" t="s">
        <v>105</v>
      </c>
      <c r="C315" s="44">
        <v>3</v>
      </c>
      <c r="D315" s="44" t="s">
        <v>317</v>
      </c>
      <c r="E315" s="44" t="s">
        <v>161</v>
      </c>
      <c r="F315" s="44" t="s">
        <v>221</v>
      </c>
      <c r="G315" s="9">
        <f>'10_Raw_Segment_Results'!F19</f>
        <v>120</v>
      </c>
      <c r="H315" s="62" t="s">
        <v>624</v>
      </c>
      <c r="I315" s="62" t="s">
        <v>617</v>
      </c>
    </row>
    <row r="316" spans="1:9">
      <c r="A316" s="44" t="s">
        <v>313</v>
      </c>
      <c r="B316" s="44" t="s">
        <v>105</v>
      </c>
      <c r="C316" s="44">
        <v>3</v>
      </c>
      <c r="D316" s="44" t="s">
        <v>317</v>
      </c>
      <c r="E316" s="44" t="s">
        <v>226</v>
      </c>
      <c r="F316" s="44" t="s">
        <v>221</v>
      </c>
      <c r="G316" s="9">
        <f>'10_Raw_Segment_Results'!G19</f>
        <v>16769</v>
      </c>
      <c r="H316" s="62" t="s">
        <v>624</v>
      </c>
      <c r="I316" s="62" t="s">
        <v>618</v>
      </c>
    </row>
    <row r="317" spans="1:9">
      <c r="A317" s="44" t="s">
        <v>313</v>
      </c>
      <c r="B317" s="44" t="s">
        <v>105</v>
      </c>
      <c r="C317" s="44">
        <v>3</v>
      </c>
      <c r="D317" s="44" t="s">
        <v>317</v>
      </c>
      <c r="E317" s="44" t="s">
        <v>229</v>
      </c>
      <c r="F317" s="44" t="s">
        <v>221</v>
      </c>
      <c r="G317" s="9">
        <f>'10_Raw_Segment_Results'!H19</f>
        <v>4289</v>
      </c>
      <c r="H317" s="62" t="s">
        <v>624</v>
      </c>
      <c r="I317" s="62" t="s">
        <v>619</v>
      </c>
    </row>
    <row r="318" spans="1:9">
      <c r="A318" s="44" t="s">
        <v>313</v>
      </c>
      <c r="B318" s="44" t="s">
        <v>105</v>
      </c>
      <c r="C318" s="44">
        <v>3</v>
      </c>
      <c r="D318" s="44" t="s">
        <v>317</v>
      </c>
      <c r="E318" s="44" t="s">
        <v>183</v>
      </c>
      <c r="F318" s="44" t="s">
        <v>235</v>
      </c>
      <c r="G318" s="15">
        <f>'10_Raw_Segment_Results'!I19</f>
        <v>0.16600000000000001</v>
      </c>
      <c r="H318" s="62" t="s">
        <v>624</v>
      </c>
      <c r="I318" s="62" t="s">
        <v>620</v>
      </c>
    </row>
    <row r="319" spans="1:9">
      <c r="A319" s="44" t="s">
        <v>313</v>
      </c>
      <c r="B319" s="44" t="s">
        <v>105</v>
      </c>
      <c r="C319" s="44">
        <v>3</v>
      </c>
      <c r="D319" s="44" t="s">
        <v>317</v>
      </c>
      <c r="E319" s="44" t="s">
        <v>186</v>
      </c>
      <c r="F319" s="44" t="s">
        <v>235</v>
      </c>
      <c r="G319" s="15"/>
      <c r="H319" s="62" t="s">
        <v>624</v>
      </c>
      <c r="I319" s="62" t="s">
        <v>621</v>
      </c>
    </row>
    <row r="320" spans="1:9">
      <c r="A320" s="44" t="s">
        <v>313</v>
      </c>
      <c r="B320" s="44" t="s">
        <v>105</v>
      </c>
      <c r="C320" s="44">
        <v>3</v>
      </c>
      <c r="D320" s="44" t="s">
        <v>318</v>
      </c>
      <c r="E320" s="44" t="s">
        <v>225</v>
      </c>
      <c r="F320" s="44" t="s">
        <v>221</v>
      </c>
      <c r="G320" s="9">
        <f>'10_Raw_Segment_Results'!C20</f>
        <v>1321</v>
      </c>
      <c r="H320" s="62" t="s">
        <v>624</v>
      </c>
      <c r="I320" s="62" t="s">
        <v>625</v>
      </c>
    </row>
    <row r="321" spans="1:9">
      <c r="A321" s="44" t="s">
        <v>313</v>
      </c>
      <c r="B321" s="44" t="s">
        <v>105</v>
      </c>
      <c r="C321" s="44">
        <v>3</v>
      </c>
      <c r="D321" s="44" t="s">
        <v>318</v>
      </c>
      <c r="E321" s="44" t="s">
        <v>150</v>
      </c>
      <c r="F321" s="44" t="s">
        <v>221</v>
      </c>
      <c r="G321" s="9"/>
      <c r="H321" s="62" t="s">
        <v>624</v>
      </c>
      <c r="I321" s="62" t="s">
        <v>626</v>
      </c>
    </row>
    <row r="322" spans="1:9">
      <c r="A322" s="44" t="s">
        <v>313</v>
      </c>
      <c r="B322" s="44" t="s">
        <v>105</v>
      </c>
      <c r="C322" s="44">
        <v>3</v>
      </c>
      <c r="D322" s="44" t="s">
        <v>318</v>
      </c>
      <c r="E322" s="44" t="s">
        <v>155</v>
      </c>
      <c r="F322" s="44" t="s">
        <v>221</v>
      </c>
      <c r="G322" s="9"/>
      <c r="H322" s="62" t="s">
        <v>624</v>
      </c>
      <c r="I322" s="62" t="s">
        <v>627</v>
      </c>
    </row>
    <row r="323" spans="1:9">
      <c r="A323" s="44" t="s">
        <v>313</v>
      </c>
      <c r="B323" s="44" t="s">
        <v>105</v>
      </c>
      <c r="C323" s="44">
        <v>3</v>
      </c>
      <c r="D323" s="44" t="s">
        <v>318</v>
      </c>
      <c r="E323" s="44" t="s">
        <v>161</v>
      </c>
      <c r="F323" s="44" t="s">
        <v>221</v>
      </c>
      <c r="G323" s="9">
        <f>'10_Raw_Segment_Results'!F20</f>
        <v>0</v>
      </c>
      <c r="H323" s="62" t="s">
        <v>624</v>
      </c>
      <c r="I323" s="62" t="s">
        <v>628</v>
      </c>
    </row>
    <row r="324" spans="1:9">
      <c r="A324" s="44" t="s">
        <v>313</v>
      </c>
      <c r="B324" s="44" t="s">
        <v>105</v>
      </c>
      <c r="C324" s="44">
        <v>3</v>
      </c>
      <c r="D324" s="44" t="s">
        <v>318</v>
      </c>
      <c r="E324" s="44" t="s">
        <v>226</v>
      </c>
      <c r="F324" s="44" t="s">
        <v>221</v>
      </c>
      <c r="G324" s="9">
        <f>'10_Raw_Segment_Results'!G20</f>
        <v>315</v>
      </c>
      <c r="H324" s="62" t="s">
        <v>624</v>
      </c>
      <c r="I324" s="62" t="s">
        <v>629</v>
      </c>
    </row>
    <row r="325" spans="1:9">
      <c r="A325" s="44" t="s">
        <v>313</v>
      </c>
      <c r="B325" s="44" t="s">
        <v>105</v>
      </c>
      <c r="C325" s="44">
        <v>3</v>
      </c>
      <c r="D325" s="44" t="s">
        <v>318</v>
      </c>
      <c r="E325" s="44" t="s">
        <v>229</v>
      </c>
      <c r="F325" s="44" t="s">
        <v>221</v>
      </c>
      <c r="G325" s="9">
        <f>'10_Raw_Segment_Results'!H20</f>
        <v>828</v>
      </c>
      <c r="H325" s="62" t="s">
        <v>624</v>
      </c>
      <c r="I325" s="62" t="s">
        <v>630</v>
      </c>
    </row>
    <row r="326" spans="1:9">
      <c r="A326" s="44" t="s">
        <v>313</v>
      </c>
      <c r="B326" s="44" t="s">
        <v>105</v>
      </c>
      <c r="C326" s="44">
        <v>3</v>
      </c>
      <c r="D326" s="44" t="s">
        <v>318</v>
      </c>
      <c r="E326" s="44" t="s">
        <v>183</v>
      </c>
      <c r="F326" s="44" t="s">
        <v>235</v>
      </c>
      <c r="G326" s="15">
        <f>'10_Raw_Segment_Results'!I20</f>
        <v>0.40699999999999997</v>
      </c>
      <c r="H326" s="62" t="s">
        <v>624</v>
      </c>
      <c r="I326" s="62" t="s">
        <v>631</v>
      </c>
    </row>
    <row r="327" spans="1:9">
      <c r="A327" s="44" t="s">
        <v>313</v>
      </c>
      <c r="B327" s="44" t="s">
        <v>105</v>
      </c>
      <c r="C327" s="44">
        <v>3</v>
      </c>
      <c r="D327" s="44" t="s">
        <v>318</v>
      </c>
      <c r="E327" s="44" t="s">
        <v>186</v>
      </c>
      <c r="F327" s="44" t="s">
        <v>235</v>
      </c>
      <c r="G327" s="15"/>
      <c r="H327" s="62" t="s">
        <v>624</v>
      </c>
      <c r="I327" s="62" t="s">
        <v>632</v>
      </c>
    </row>
    <row r="328" spans="1:9">
      <c r="A328" s="44" t="s">
        <v>313</v>
      </c>
      <c r="B328" s="44" t="s">
        <v>105</v>
      </c>
      <c r="C328" s="44">
        <v>3</v>
      </c>
      <c r="D328" s="44" t="s">
        <v>319</v>
      </c>
      <c r="E328" s="44" t="s">
        <v>225</v>
      </c>
      <c r="F328" s="44" t="s">
        <v>221</v>
      </c>
      <c r="G328" s="9">
        <f>'10_Raw_Segment_Results'!C21</f>
        <v>14426</v>
      </c>
      <c r="H328" s="62" t="s">
        <v>624</v>
      </c>
      <c r="I328" s="62" t="s">
        <v>633</v>
      </c>
    </row>
    <row r="329" spans="1:9">
      <c r="A329" s="44" t="s">
        <v>313</v>
      </c>
      <c r="B329" s="44" t="s">
        <v>105</v>
      </c>
      <c r="C329" s="44">
        <v>3</v>
      </c>
      <c r="D329" s="44" t="s">
        <v>319</v>
      </c>
      <c r="E329" s="44" t="s">
        <v>150</v>
      </c>
      <c r="F329" s="44" t="s">
        <v>221</v>
      </c>
      <c r="G329" s="9">
        <f>'10_Raw_Segment_Results'!D21</f>
        <v>4789</v>
      </c>
      <c r="H329" s="62" t="s">
        <v>624</v>
      </c>
      <c r="I329" s="62" t="s">
        <v>634</v>
      </c>
    </row>
    <row r="330" spans="1:9">
      <c r="A330" s="44" t="s">
        <v>313</v>
      </c>
      <c r="B330" s="44" t="s">
        <v>105</v>
      </c>
      <c r="C330" s="44">
        <v>3</v>
      </c>
      <c r="D330" s="44" t="s">
        <v>319</v>
      </c>
      <c r="E330" s="44" t="s">
        <v>155</v>
      </c>
      <c r="F330" s="44" t="s">
        <v>221</v>
      </c>
      <c r="G330" s="9">
        <f>'10_Raw_Segment_Results'!E21</f>
        <v>9637</v>
      </c>
      <c r="H330" s="62" t="s">
        <v>624</v>
      </c>
      <c r="I330" s="62" t="s">
        <v>635</v>
      </c>
    </row>
    <row r="331" spans="1:9">
      <c r="A331" s="44" t="s">
        <v>313</v>
      </c>
      <c r="B331" s="44" t="s">
        <v>105</v>
      </c>
      <c r="C331" s="44">
        <v>3</v>
      </c>
      <c r="D331" s="44" t="s">
        <v>319</v>
      </c>
      <c r="E331" s="44" t="s">
        <v>161</v>
      </c>
      <c r="F331" s="44" t="s">
        <v>221</v>
      </c>
      <c r="G331" s="9">
        <f>'10_Raw_Segment_Results'!F21</f>
        <v>587</v>
      </c>
      <c r="H331" s="62" t="s">
        <v>624</v>
      </c>
      <c r="I331" s="62" t="s">
        <v>636</v>
      </c>
    </row>
    <row r="332" spans="1:9">
      <c r="A332" s="44" t="s">
        <v>313</v>
      </c>
      <c r="B332" s="44" t="s">
        <v>105</v>
      </c>
      <c r="C332" s="44">
        <v>3</v>
      </c>
      <c r="D332" s="44" t="s">
        <v>319</v>
      </c>
      <c r="E332" s="44" t="s">
        <v>226</v>
      </c>
      <c r="F332" s="44" t="s">
        <v>221</v>
      </c>
      <c r="G332" s="9">
        <f>'10_Raw_Segment_Results'!G21</f>
        <v>7966</v>
      </c>
      <c r="H332" s="62" t="s">
        <v>624</v>
      </c>
      <c r="I332" s="62" t="s">
        <v>637</v>
      </c>
    </row>
    <row r="333" spans="1:9">
      <c r="A333" s="44" t="s">
        <v>313</v>
      </c>
      <c r="B333" s="44" t="s">
        <v>105</v>
      </c>
      <c r="C333" s="44">
        <v>3</v>
      </c>
      <c r="D333" s="44" t="s">
        <v>319</v>
      </c>
      <c r="E333" s="44" t="s">
        <v>229</v>
      </c>
      <c r="F333" s="44" t="s">
        <v>221</v>
      </c>
      <c r="G333" s="9">
        <f>'10_Raw_Segment_Results'!H21</f>
        <v>5393</v>
      </c>
      <c r="H333" s="62" t="s">
        <v>624</v>
      </c>
      <c r="I333" s="62" t="s">
        <v>638</v>
      </c>
    </row>
    <row r="334" spans="1:9">
      <c r="A334" s="44" t="s">
        <v>313</v>
      </c>
      <c r="B334" s="44" t="s">
        <v>105</v>
      </c>
      <c r="C334" s="44">
        <v>3</v>
      </c>
      <c r="D334" s="44" t="s">
        <v>319</v>
      </c>
      <c r="E334" s="44" t="s">
        <v>183</v>
      </c>
      <c r="F334" s="44" t="s">
        <v>235</v>
      </c>
      <c r="G334" s="15">
        <f>'10_Raw_Segment_Results'!I21</f>
        <v>0.13700000000000001</v>
      </c>
      <c r="H334" s="62" t="s">
        <v>624</v>
      </c>
      <c r="I334" s="62" t="s">
        <v>639</v>
      </c>
    </row>
    <row r="335" spans="1:9">
      <c r="A335" s="44" t="s">
        <v>313</v>
      </c>
      <c r="B335" s="44" t="s">
        <v>105</v>
      </c>
      <c r="C335" s="44">
        <v>3</v>
      </c>
      <c r="D335" s="44" t="s">
        <v>319</v>
      </c>
      <c r="E335" s="44" t="s">
        <v>186</v>
      </c>
      <c r="F335" s="44" t="s">
        <v>235</v>
      </c>
      <c r="G335" s="15"/>
      <c r="H335" s="62" t="s">
        <v>624</v>
      </c>
      <c r="I335" s="62" t="s">
        <v>640</v>
      </c>
    </row>
    <row r="336" spans="1:9">
      <c r="A336" s="44" t="s">
        <v>313</v>
      </c>
      <c r="B336" s="44" t="s">
        <v>105</v>
      </c>
      <c r="C336" s="44">
        <v>3</v>
      </c>
      <c r="D336" s="44" t="s">
        <v>320</v>
      </c>
      <c r="E336" s="44" t="s">
        <v>225</v>
      </c>
      <c r="F336" s="44" t="s">
        <v>221</v>
      </c>
      <c r="G336" s="9">
        <f>'10_Raw_Segment_Results'!C22</f>
        <v>64</v>
      </c>
      <c r="H336" s="62" t="s">
        <v>624</v>
      </c>
      <c r="I336" s="62" t="s">
        <v>641</v>
      </c>
    </row>
    <row r="337" spans="1:9">
      <c r="A337" s="44" t="s">
        <v>313</v>
      </c>
      <c r="B337" s="44" t="s">
        <v>105</v>
      </c>
      <c r="C337" s="44">
        <v>3</v>
      </c>
      <c r="D337" s="44" t="s">
        <v>320</v>
      </c>
      <c r="E337" s="44" t="s">
        <v>150</v>
      </c>
      <c r="F337" s="44" t="s">
        <v>221</v>
      </c>
      <c r="G337" s="9">
        <f>'10_Raw_Segment_Results'!D22</f>
        <v>988</v>
      </c>
      <c r="H337" s="62" t="s">
        <v>624</v>
      </c>
      <c r="I337" s="62" t="s">
        <v>642</v>
      </c>
    </row>
    <row r="338" spans="1:9">
      <c r="A338" s="44" t="s">
        <v>313</v>
      </c>
      <c r="B338" s="44" t="s">
        <v>105</v>
      </c>
      <c r="C338" s="44">
        <v>3</v>
      </c>
      <c r="D338" s="44" t="s">
        <v>320</v>
      </c>
      <c r="E338" s="44" t="s">
        <v>155</v>
      </c>
      <c r="F338" s="44" t="s">
        <v>221</v>
      </c>
      <c r="G338" s="9">
        <f>'10_Raw_Segment_Results'!E22</f>
        <v>-1329</v>
      </c>
      <c r="H338" s="62" t="s">
        <v>624</v>
      </c>
      <c r="I338" s="62" t="s">
        <v>643</v>
      </c>
    </row>
    <row r="339" spans="1:9">
      <c r="A339" s="44" t="s">
        <v>313</v>
      </c>
      <c r="B339" s="44" t="s">
        <v>105</v>
      </c>
      <c r="C339" s="44">
        <v>3</v>
      </c>
      <c r="D339" s="44" t="s">
        <v>320</v>
      </c>
      <c r="E339" s="44" t="s">
        <v>161</v>
      </c>
      <c r="F339" s="44" t="s">
        <v>221</v>
      </c>
      <c r="G339" s="9">
        <f>'10_Raw_Segment_Results'!F22</f>
        <v>0</v>
      </c>
      <c r="H339" s="62" t="s">
        <v>624</v>
      </c>
      <c r="I339" s="62" t="s">
        <v>644</v>
      </c>
    </row>
    <row r="340" spans="1:9">
      <c r="A340" s="44" t="s">
        <v>313</v>
      </c>
      <c r="B340" s="44" t="s">
        <v>105</v>
      </c>
      <c r="C340" s="44">
        <v>3</v>
      </c>
      <c r="D340" s="44" t="s">
        <v>320</v>
      </c>
      <c r="E340" s="44" t="s">
        <v>226</v>
      </c>
      <c r="F340" s="44" t="s">
        <v>221</v>
      </c>
      <c r="G340" s="9">
        <f>'10_Raw_Segment_Results'!G22</f>
        <v>317</v>
      </c>
      <c r="H340" s="62" t="s">
        <v>624</v>
      </c>
      <c r="I340" s="62" t="s">
        <v>645</v>
      </c>
    </row>
    <row r="341" spans="1:9">
      <c r="A341" s="44" t="s">
        <v>313</v>
      </c>
      <c r="B341" s="44" t="s">
        <v>105</v>
      </c>
      <c r="C341" s="44">
        <v>3</v>
      </c>
      <c r="D341" s="44" t="s">
        <v>320</v>
      </c>
      <c r="E341" s="44" t="s">
        <v>229</v>
      </c>
      <c r="F341" s="44" t="s">
        <v>221</v>
      </c>
      <c r="G341" s="9">
        <f>'10_Raw_Segment_Results'!H22</f>
        <v>-266</v>
      </c>
      <c r="H341" s="62" t="s">
        <v>624</v>
      </c>
      <c r="I341" s="62" t="s">
        <v>646</v>
      </c>
    </row>
    <row r="342" spans="1:9">
      <c r="A342" s="44" t="s">
        <v>313</v>
      </c>
      <c r="B342" s="44" t="s">
        <v>105</v>
      </c>
      <c r="C342" s="44">
        <v>3</v>
      </c>
      <c r="D342" s="44" t="s">
        <v>320</v>
      </c>
      <c r="E342" s="44" t="s">
        <v>183</v>
      </c>
      <c r="F342" s="44" t="s">
        <v>235</v>
      </c>
      <c r="G342" s="15"/>
      <c r="H342" s="62" t="s">
        <v>624</v>
      </c>
      <c r="I342" s="62" t="s">
        <v>647</v>
      </c>
    </row>
    <row r="343" spans="1:9">
      <c r="A343" s="44" t="s">
        <v>313</v>
      </c>
      <c r="B343" s="44" t="s">
        <v>105</v>
      </c>
      <c r="C343" s="44">
        <v>3</v>
      </c>
      <c r="D343" s="44" t="s">
        <v>320</v>
      </c>
      <c r="E343" s="44" t="s">
        <v>186</v>
      </c>
      <c r="F343" s="44" t="s">
        <v>235</v>
      </c>
      <c r="G343" s="15"/>
      <c r="H343" s="62" t="s">
        <v>624</v>
      </c>
      <c r="I343" s="62" t="s">
        <v>648</v>
      </c>
    </row>
    <row r="344" spans="1:9">
      <c r="A344" s="44" t="s">
        <v>313</v>
      </c>
      <c r="B344" s="44" t="s">
        <v>252</v>
      </c>
      <c r="C344" s="44">
        <v>4</v>
      </c>
      <c r="D344" s="44" t="s">
        <v>314</v>
      </c>
      <c r="E344" s="44" t="s">
        <v>225</v>
      </c>
      <c r="F344" s="44" t="s">
        <v>221</v>
      </c>
      <c r="G344" s="9">
        <f>'10_Raw_Segment_Results'!C23</f>
        <v>5238</v>
      </c>
      <c r="H344" s="62" t="s">
        <v>624</v>
      </c>
      <c r="I344" s="62" t="s">
        <v>649</v>
      </c>
    </row>
    <row r="345" spans="1:9">
      <c r="A345" s="44" t="s">
        <v>313</v>
      </c>
      <c r="B345" s="44" t="s">
        <v>252</v>
      </c>
      <c r="C345" s="44">
        <v>4</v>
      </c>
      <c r="D345" s="44" t="s">
        <v>314</v>
      </c>
      <c r="E345" s="44" t="s">
        <v>150</v>
      </c>
      <c r="F345" s="44" t="s">
        <v>221</v>
      </c>
      <c r="G345" s="9">
        <f>'10_Raw_Segment_Results'!D23</f>
        <v>3831</v>
      </c>
      <c r="H345" s="62" t="s">
        <v>624</v>
      </c>
      <c r="I345" s="62" t="s">
        <v>650</v>
      </c>
    </row>
    <row r="346" spans="1:9">
      <c r="A346" s="44" t="s">
        <v>313</v>
      </c>
      <c r="B346" s="44" t="s">
        <v>252</v>
      </c>
      <c r="C346" s="44">
        <v>4</v>
      </c>
      <c r="D346" s="44" t="s">
        <v>314</v>
      </c>
      <c r="E346" s="44" t="s">
        <v>155</v>
      </c>
      <c r="F346" s="44" t="s">
        <v>221</v>
      </c>
      <c r="G346" s="9">
        <f>'10_Raw_Segment_Results'!E23</f>
        <v>1407</v>
      </c>
      <c r="H346" s="62" t="s">
        <v>624</v>
      </c>
      <c r="I346" s="62" t="s">
        <v>651</v>
      </c>
    </row>
    <row r="347" spans="1:9">
      <c r="A347" s="44" t="s">
        <v>313</v>
      </c>
      <c r="B347" s="44" t="s">
        <v>252</v>
      </c>
      <c r="C347" s="44">
        <v>4</v>
      </c>
      <c r="D347" s="44" t="s">
        <v>314</v>
      </c>
      <c r="E347" s="44" t="s">
        <v>161</v>
      </c>
      <c r="F347" s="44" t="s">
        <v>221</v>
      </c>
      <c r="G347" s="9">
        <f>'10_Raw_Segment_Results'!F23</f>
        <v>531</v>
      </c>
      <c r="H347" s="62" t="s">
        <v>624</v>
      </c>
      <c r="I347" s="62" t="s">
        <v>652</v>
      </c>
    </row>
    <row r="348" spans="1:9">
      <c r="A348" s="44" t="s">
        <v>313</v>
      </c>
      <c r="B348" s="44" t="s">
        <v>252</v>
      </c>
      <c r="C348" s="44">
        <v>4</v>
      </c>
      <c r="D348" s="44" t="s">
        <v>314</v>
      </c>
      <c r="E348" s="44" t="s">
        <v>226</v>
      </c>
      <c r="F348" s="44" t="s">
        <v>221</v>
      </c>
      <c r="G348" s="9">
        <f>'10_Raw_Segment_Results'!G23</f>
        <v>2020</v>
      </c>
      <c r="H348" s="62" t="s">
        <v>624</v>
      </c>
      <c r="I348" s="62" t="s">
        <v>653</v>
      </c>
    </row>
    <row r="349" spans="1:9">
      <c r="A349" s="44" t="s">
        <v>313</v>
      </c>
      <c r="B349" s="44" t="s">
        <v>252</v>
      </c>
      <c r="C349" s="44">
        <v>4</v>
      </c>
      <c r="D349" s="44" t="s">
        <v>314</v>
      </c>
      <c r="E349" s="44" t="s">
        <v>229</v>
      </c>
      <c r="F349" s="44" t="s">
        <v>221</v>
      </c>
      <c r="G349" s="9">
        <f>'10_Raw_Segment_Results'!H23</f>
        <v>1962</v>
      </c>
      <c r="H349" s="62" t="s">
        <v>624</v>
      </c>
      <c r="I349" s="62" t="s">
        <v>654</v>
      </c>
    </row>
    <row r="350" spans="1:9">
      <c r="A350" s="44" t="s">
        <v>313</v>
      </c>
      <c r="B350" s="44" t="s">
        <v>252</v>
      </c>
      <c r="C350" s="44">
        <v>4</v>
      </c>
      <c r="D350" s="44" t="s">
        <v>314</v>
      </c>
      <c r="E350" s="44" t="s">
        <v>183</v>
      </c>
      <c r="F350" s="44" t="s">
        <v>235</v>
      </c>
      <c r="G350" s="15">
        <f>'10_Raw_Segment_Results'!I23</f>
        <v>0.26300000000000001</v>
      </c>
      <c r="H350" s="62" t="s">
        <v>624</v>
      </c>
      <c r="I350" s="62" t="s">
        <v>655</v>
      </c>
    </row>
    <row r="351" spans="1:9">
      <c r="A351" s="44" t="s">
        <v>313</v>
      </c>
      <c r="B351" s="44" t="s">
        <v>252</v>
      </c>
      <c r="C351" s="44">
        <v>4</v>
      </c>
      <c r="D351" s="44" t="s">
        <v>314</v>
      </c>
      <c r="E351" s="44" t="s">
        <v>186</v>
      </c>
      <c r="F351" s="44" t="s">
        <v>235</v>
      </c>
      <c r="G351" s="15">
        <f>'10_Raw_Segment_Results'!J23</f>
        <v>0.38600000000000001</v>
      </c>
      <c r="H351" s="62" t="s">
        <v>624</v>
      </c>
      <c r="I351" s="62" t="s">
        <v>656</v>
      </c>
    </row>
    <row r="352" spans="1:9">
      <c r="A352" s="44" t="s">
        <v>313</v>
      </c>
      <c r="B352" s="44" t="s">
        <v>252</v>
      </c>
      <c r="C352" s="44">
        <v>4</v>
      </c>
      <c r="D352" s="44" t="s">
        <v>316</v>
      </c>
      <c r="E352" s="44" t="s">
        <v>225</v>
      </c>
      <c r="F352" s="44" t="s">
        <v>221</v>
      </c>
      <c r="G352" s="9">
        <f>'10_Raw_Segment_Results'!C24</f>
        <v>2207</v>
      </c>
      <c r="H352" s="62" t="s">
        <v>624</v>
      </c>
      <c r="I352" s="62" t="s">
        <v>657</v>
      </c>
    </row>
    <row r="353" spans="1:9">
      <c r="A353" s="44" t="s">
        <v>313</v>
      </c>
      <c r="B353" s="44" t="s">
        <v>252</v>
      </c>
      <c r="C353" s="44">
        <v>4</v>
      </c>
      <c r="D353" s="44" t="s">
        <v>316</v>
      </c>
      <c r="E353" s="44" t="s">
        <v>150</v>
      </c>
      <c r="F353" s="44" t="s">
        <v>221</v>
      </c>
      <c r="G353" s="9">
        <f>'10_Raw_Segment_Results'!D24</f>
        <v>1895</v>
      </c>
      <c r="H353" s="62" t="s">
        <v>624</v>
      </c>
      <c r="I353" s="62" t="s">
        <v>658</v>
      </c>
    </row>
    <row r="354" spans="1:9">
      <c r="A354" s="44" t="s">
        <v>313</v>
      </c>
      <c r="B354" s="44" t="s">
        <v>252</v>
      </c>
      <c r="C354" s="44">
        <v>4</v>
      </c>
      <c r="D354" s="44" t="s">
        <v>316</v>
      </c>
      <c r="E354" s="44" t="s">
        <v>155</v>
      </c>
      <c r="F354" s="44" t="s">
        <v>221</v>
      </c>
      <c r="G354" s="9">
        <f>'10_Raw_Segment_Results'!E24</f>
        <v>312</v>
      </c>
      <c r="H354" s="62" t="s">
        <v>624</v>
      </c>
      <c r="I354" s="62" t="s">
        <v>659</v>
      </c>
    </row>
    <row r="355" spans="1:9">
      <c r="A355" s="44" t="s">
        <v>313</v>
      </c>
      <c r="B355" s="44" t="s">
        <v>252</v>
      </c>
      <c r="C355" s="44">
        <v>4</v>
      </c>
      <c r="D355" s="44" t="s">
        <v>316</v>
      </c>
      <c r="E355" s="44" t="s">
        <v>161</v>
      </c>
      <c r="F355" s="44" t="s">
        <v>221</v>
      </c>
      <c r="G355" s="9">
        <f>'10_Raw_Segment_Results'!F24</f>
        <v>286</v>
      </c>
      <c r="H355" s="62" t="s">
        <v>624</v>
      </c>
      <c r="I355" s="62" t="s">
        <v>660</v>
      </c>
    </row>
    <row r="356" spans="1:9">
      <c r="A356" s="44" t="s">
        <v>313</v>
      </c>
      <c r="B356" s="44" t="s">
        <v>252</v>
      </c>
      <c r="C356" s="44">
        <v>4</v>
      </c>
      <c r="D356" s="44" t="s">
        <v>316</v>
      </c>
      <c r="E356" s="44" t="s">
        <v>226</v>
      </c>
      <c r="F356" s="44" t="s">
        <v>221</v>
      </c>
      <c r="G356" s="9">
        <f>'10_Raw_Segment_Results'!G24</f>
        <v>725</v>
      </c>
      <c r="H356" s="62" t="s">
        <v>624</v>
      </c>
      <c r="I356" s="62" t="s">
        <v>661</v>
      </c>
    </row>
    <row r="357" spans="1:9">
      <c r="A357" s="44" t="s">
        <v>313</v>
      </c>
      <c r="B357" s="44" t="s">
        <v>252</v>
      </c>
      <c r="C357" s="44">
        <v>4</v>
      </c>
      <c r="D357" s="44" t="s">
        <v>316</v>
      </c>
      <c r="E357" s="44" t="s">
        <v>229</v>
      </c>
      <c r="F357" s="44" t="s">
        <v>221</v>
      </c>
      <c r="G357" s="9">
        <f>'10_Raw_Segment_Results'!H24</f>
        <v>863</v>
      </c>
      <c r="H357" s="62" t="s">
        <v>624</v>
      </c>
      <c r="I357" s="62" t="s">
        <v>662</v>
      </c>
    </row>
    <row r="358" spans="1:9">
      <c r="A358" s="44" t="s">
        <v>313</v>
      </c>
      <c r="B358" s="44" t="s">
        <v>252</v>
      </c>
      <c r="C358" s="44">
        <v>4</v>
      </c>
      <c r="D358" s="44" t="s">
        <v>316</v>
      </c>
      <c r="E358" s="44" t="s">
        <v>183</v>
      </c>
      <c r="F358" s="44" t="s">
        <v>235</v>
      </c>
      <c r="G358" s="15">
        <f>'10_Raw_Segment_Results'!I24</f>
        <v>0.16900000000000001</v>
      </c>
      <c r="H358" s="62" t="s">
        <v>624</v>
      </c>
      <c r="I358" s="62" t="s">
        <v>663</v>
      </c>
    </row>
    <row r="359" spans="1:9">
      <c r="A359" s="44" t="s">
        <v>313</v>
      </c>
      <c r="B359" s="44" t="s">
        <v>252</v>
      </c>
      <c r="C359" s="44">
        <v>4</v>
      </c>
      <c r="D359" s="44" t="s">
        <v>316</v>
      </c>
      <c r="E359" s="44" t="s">
        <v>186</v>
      </c>
      <c r="F359" s="44" t="s">
        <v>235</v>
      </c>
      <c r="G359" s="15">
        <f>'10_Raw_Segment_Results'!J24</f>
        <v>0.32900000000000001</v>
      </c>
      <c r="H359" s="62" t="s">
        <v>624</v>
      </c>
      <c r="I359" s="62" t="s">
        <v>664</v>
      </c>
    </row>
    <row r="360" spans="1:9">
      <c r="A360" s="44" t="s">
        <v>313</v>
      </c>
      <c r="B360" s="44" t="s">
        <v>252</v>
      </c>
      <c r="C360" s="44">
        <v>4</v>
      </c>
      <c r="D360" s="44" t="s">
        <v>317</v>
      </c>
      <c r="E360" s="44" t="s">
        <v>225</v>
      </c>
      <c r="F360" s="44" t="s">
        <v>221</v>
      </c>
      <c r="G360" s="9">
        <f>'10_Raw_Segment_Results'!C25</f>
        <v>6084</v>
      </c>
      <c r="H360" s="62" t="s">
        <v>624</v>
      </c>
      <c r="I360" s="62" t="s">
        <v>665</v>
      </c>
    </row>
    <row r="361" spans="1:9">
      <c r="A361" s="44" t="s">
        <v>313</v>
      </c>
      <c r="B361" s="44" t="s">
        <v>252</v>
      </c>
      <c r="C361" s="44">
        <v>4</v>
      </c>
      <c r="D361" s="44" t="s">
        <v>317</v>
      </c>
      <c r="E361" s="44" t="s">
        <v>150</v>
      </c>
      <c r="F361" s="44" t="s">
        <v>221</v>
      </c>
      <c r="G361" s="9">
        <f>'10_Raw_Segment_Results'!D25</f>
        <v>1454</v>
      </c>
      <c r="H361" s="62" t="s">
        <v>624</v>
      </c>
      <c r="I361" s="62" t="s">
        <v>666</v>
      </c>
    </row>
    <row r="362" spans="1:9">
      <c r="A362" s="44" t="s">
        <v>313</v>
      </c>
      <c r="B362" s="44" t="s">
        <v>252</v>
      </c>
      <c r="C362" s="44">
        <v>4</v>
      </c>
      <c r="D362" s="44" t="s">
        <v>317</v>
      </c>
      <c r="E362" s="44" t="s">
        <v>155</v>
      </c>
      <c r="F362" s="44" t="s">
        <v>221</v>
      </c>
      <c r="G362" s="9">
        <f>'10_Raw_Segment_Results'!E25</f>
        <v>4630</v>
      </c>
      <c r="H362" s="62" t="s">
        <v>624</v>
      </c>
      <c r="I362" s="62" t="s">
        <v>667</v>
      </c>
    </row>
    <row r="363" spans="1:9">
      <c r="A363" s="44" t="s">
        <v>313</v>
      </c>
      <c r="B363" s="44" t="s">
        <v>252</v>
      </c>
      <c r="C363" s="44">
        <v>4</v>
      </c>
      <c r="D363" s="44" t="s">
        <v>317</v>
      </c>
      <c r="E363" s="44" t="s">
        <v>161</v>
      </c>
      <c r="F363" s="44" t="s">
        <v>221</v>
      </c>
      <c r="G363" s="9">
        <f>'10_Raw_Segment_Results'!F25</f>
        <v>18</v>
      </c>
      <c r="H363" s="62" t="s">
        <v>624</v>
      </c>
      <c r="I363" s="62" t="s">
        <v>668</v>
      </c>
    </row>
    <row r="364" spans="1:9">
      <c r="A364" s="44" t="s">
        <v>313</v>
      </c>
      <c r="B364" s="44" t="s">
        <v>252</v>
      </c>
      <c r="C364" s="44">
        <v>4</v>
      </c>
      <c r="D364" s="44" t="s">
        <v>317</v>
      </c>
      <c r="E364" s="44" t="s">
        <v>226</v>
      </c>
      <c r="F364" s="44" t="s">
        <v>221</v>
      </c>
      <c r="G364" s="9">
        <f>'10_Raw_Segment_Results'!G25</f>
        <v>4384</v>
      </c>
      <c r="H364" s="62" t="s">
        <v>624</v>
      </c>
      <c r="I364" s="62" t="s">
        <v>669</v>
      </c>
    </row>
    <row r="365" spans="1:9">
      <c r="A365" s="44" t="s">
        <v>313</v>
      </c>
      <c r="B365" s="44" t="s">
        <v>252</v>
      </c>
      <c r="C365" s="44">
        <v>4</v>
      </c>
      <c r="D365" s="44" t="s">
        <v>317</v>
      </c>
      <c r="E365" s="44" t="s">
        <v>229</v>
      </c>
      <c r="F365" s="44" t="s">
        <v>221</v>
      </c>
      <c r="G365" s="9">
        <f>'10_Raw_Segment_Results'!H25</f>
        <v>1295</v>
      </c>
      <c r="H365" s="62" t="s">
        <v>624</v>
      </c>
      <c r="I365" s="62" t="s">
        <v>670</v>
      </c>
    </row>
    <row r="366" spans="1:9">
      <c r="A366" s="44" t="s">
        <v>313</v>
      </c>
      <c r="B366" s="44" t="s">
        <v>252</v>
      </c>
      <c r="C366" s="44">
        <v>4</v>
      </c>
      <c r="D366" s="44" t="s">
        <v>317</v>
      </c>
      <c r="E366" s="44" t="s">
        <v>183</v>
      </c>
      <c r="F366" s="44" t="s">
        <v>235</v>
      </c>
      <c r="G366" s="15">
        <f>'10_Raw_Segment_Results'!I25</f>
        <v>0.19600000000000001</v>
      </c>
      <c r="H366" s="62" t="s">
        <v>624</v>
      </c>
      <c r="I366" s="62" t="s">
        <v>671</v>
      </c>
    </row>
    <row r="367" spans="1:9">
      <c r="A367" s="44" t="s">
        <v>313</v>
      </c>
      <c r="B367" s="44" t="s">
        <v>252</v>
      </c>
      <c r="C367" s="44">
        <v>4</v>
      </c>
      <c r="D367" s="44" t="s">
        <v>317</v>
      </c>
      <c r="E367" s="44" t="s">
        <v>186</v>
      </c>
      <c r="F367" s="44" t="s">
        <v>235</v>
      </c>
      <c r="G367" s="15"/>
      <c r="H367" s="62" t="s">
        <v>624</v>
      </c>
      <c r="I367" s="62" t="s">
        <v>672</v>
      </c>
    </row>
    <row r="368" spans="1:9">
      <c r="A368" s="44" t="s">
        <v>313</v>
      </c>
      <c r="B368" s="44" t="s">
        <v>252</v>
      </c>
      <c r="C368" s="44">
        <v>4</v>
      </c>
      <c r="D368" s="44" t="s">
        <v>318</v>
      </c>
      <c r="E368" s="44" t="s">
        <v>225</v>
      </c>
      <c r="F368" s="44" t="s">
        <v>221</v>
      </c>
      <c r="G368" s="9">
        <f>'10_Raw_Segment_Results'!C26</f>
        <v>338</v>
      </c>
      <c r="H368" s="62" t="s">
        <v>624</v>
      </c>
      <c r="I368" s="62" t="s">
        <v>673</v>
      </c>
    </row>
    <row r="369" spans="1:9">
      <c r="A369" s="44" t="s">
        <v>313</v>
      </c>
      <c r="B369" s="44" t="s">
        <v>252</v>
      </c>
      <c r="C369" s="44">
        <v>4</v>
      </c>
      <c r="D369" s="44" t="s">
        <v>318</v>
      </c>
      <c r="E369" s="44" t="s">
        <v>150</v>
      </c>
      <c r="F369" s="44" t="s">
        <v>221</v>
      </c>
      <c r="G369" s="9"/>
      <c r="H369" s="62" t="s">
        <v>624</v>
      </c>
      <c r="I369" s="62" t="s">
        <v>674</v>
      </c>
    </row>
    <row r="370" spans="1:9">
      <c r="A370" s="44" t="s">
        <v>313</v>
      </c>
      <c r="B370" s="44" t="s">
        <v>252</v>
      </c>
      <c r="C370" s="44">
        <v>4</v>
      </c>
      <c r="D370" s="44" t="s">
        <v>318</v>
      </c>
      <c r="E370" s="44" t="s">
        <v>155</v>
      </c>
      <c r="F370" s="44" t="s">
        <v>221</v>
      </c>
      <c r="G370" s="9"/>
      <c r="H370" s="62" t="s">
        <v>624</v>
      </c>
      <c r="I370" s="62" t="s">
        <v>675</v>
      </c>
    </row>
    <row r="371" spans="1:9">
      <c r="A371" s="44" t="s">
        <v>313</v>
      </c>
      <c r="B371" s="44" t="s">
        <v>252</v>
      </c>
      <c r="C371" s="44">
        <v>4</v>
      </c>
      <c r="D371" s="44" t="s">
        <v>318</v>
      </c>
      <c r="E371" s="44" t="s">
        <v>161</v>
      </c>
      <c r="F371" s="44" t="s">
        <v>221</v>
      </c>
      <c r="G371" s="9">
        <f>'10_Raw_Segment_Results'!F26</f>
        <v>0</v>
      </c>
      <c r="H371" s="62" t="s">
        <v>624</v>
      </c>
      <c r="I371" s="62" t="s">
        <v>676</v>
      </c>
    </row>
    <row r="372" spans="1:9">
      <c r="A372" s="44" t="s">
        <v>313</v>
      </c>
      <c r="B372" s="44" t="s">
        <v>252</v>
      </c>
      <c r="C372" s="44">
        <v>4</v>
      </c>
      <c r="D372" s="44" t="s">
        <v>318</v>
      </c>
      <c r="E372" s="44" t="s">
        <v>226</v>
      </c>
      <c r="F372" s="44" t="s">
        <v>221</v>
      </c>
      <c r="G372" s="9">
        <f>'10_Raw_Segment_Results'!G26</f>
        <v>78</v>
      </c>
      <c r="H372" s="62" t="s">
        <v>624</v>
      </c>
      <c r="I372" s="62" t="s">
        <v>677</v>
      </c>
    </row>
    <row r="373" spans="1:9">
      <c r="A373" s="44" t="s">
        <v>313</v>
      </c>
      <c r="B373" s="44" t="s">
        <v>252</v>
      </c>
      <c r="C373" s="44">
        <v>4</v>
      </c>
      <c r="D373" s="44" t="s">
        <v>318</v>
      </c>
      <c r="E373" s="44" t="s">
        <v>229</v>
      </c>
      <c r="F373" s="44" t="s">
        <v>221</v>
      </c>
      <c r="G373" s="9">
        <f>'10_Raw_Segment_Results'!H26</f>
        <v>213</v>
      </c>
      <c r="H373" s="62" t="s">
        <v>624</v>
      </c>
      <c r="I373" s="62" t="s">
        <v>678</v>
      </c>
    </row>
    <row r="374" spans="1:9">
      <c r="A374" s="44" t="s">
        <v>313</v>
      </c>
      <c r="B374" s="44" t="s">
        <v>252</v>
      </c>
      <c r="C374" s="44">
        <v>4</v>
      </c>
      <c r="D374" s="44" t="s">
        <v>318</v>
      </c>
      <c r="E374" s="44" t="s">
        <v>183</v>
      </c>
      <c r="F374" s="44" t="s">
        <v>235</v>
      </c>
      <c r="G374" s="15">
        <f>'10_Raw_Segment_Results'!I26</f>
        <v>0.249</v>
      </c>
      <c r="H374" s="62" t="s">
        <v>624</v>
      </c>
      <c r="I374" s="62" t="s">
        <v>679</v>
      </c>
    </row>
    <row r="375" spans="1:9">
      <c r="A375" s="44" t="s">
        <v>313</v>
      </c>
      <c r="B375" s="44" t="s">
        <v>252</v>
      </c>
      <c r="C375" s="44">
        <v>4</v>
      </c>
      <c r="D375" s="44" t="s">
        <v>318</v>
      </c>
      <c r="E375" s="44" t="s">
        <v>186</v>
      </c>
      <c r="F375" s="44" t="s">
        <v>235</v>
      </c>
      <c r="G375" s="15"/>
      <c r="H375" s="62" t="s">
        <v>624</v>
      </c>
      <c r="I375" s="62" t="s">
        <v>680</v>
      </c>
    </row>
    <row r="376" spans="1:9">
      <c r="A376" s="44" t="s">
        <v>313</v>
      </c>
      <c r="B376" s="44" t="s">
        <v>252</v>
      </c>
      <c r="C376" s="44">
        <v>4</v>
      </c>
      <c r="D376" s="44" t="s">
        <v>319</v>
      </c>
      <c r="E376" s="44" t="s">
        <v>225</v>
      </c>
      <c r="F376" s="44" t="s">
        <v>221</v>
      </c>
      <c r="G376" s="9">
        <f>'10_Raw_Segment_Results'!C27</f>
        <v>4018</v>
      </c>
      <c r="H376" s="62" t="s">
        <v>624</v>
      </c>
      <c r="I376" s="62" t="s">
        <v>681</v>
      </c>
    </row>
    <row r="377" spans="1:9">
      <c r="A377" s="44" t="s">
        <v>313</v>
      </c>
      <c r="B377" s="44" t="s">
        <v>252</v>
      </c>
      <c r="C377" s="44">
        <v>4</v>
      </c>
      <c r="D377" s="44" t="s">
        <v>319</v>
      </c>
      <c r="E377" s="44" t="s">
        <v>150</v>
      </c>
      <c r="F377" s="44" t="s">
        <v>221</v>
      </c>
      <c r="G377" s="9">
        <f>'10_Raw_Segment_Results'!D27</f>
        <v>1218</v>
      </c>
      <c r="H377" s="62" t="s">
        <v>624</v>
      </c>
      <c r="I377" s="62" t="s">
        <v>682</v>
      </c>
    </row>
    <row r="378" spans="1:9">
      <c r="A378" s="44" t="s">
        <v>313</v>
      </c>
      <c r="B378" s="44" t="s">
        <v>252</v>
      </c>
      <c r="C378" s="44">
        <v>4</v>
      </c>
      <c r="D378" s="44" t="s">
        <v>319</v>
      </c>
      <c r="E378" s="44" t="s">
        <v>155</v>
      </c>
      <c r="F378" s="44" t="s">
        <v>221</v>
      </c>
      <c r="G378" s="9">
        <f>'10_Raw_Segment_Results'!E27</f>
        <v>2800</v>
      </c>
      <c r="H378" s="62" t="s">
        <v>624</v>
      </c>
      <c r="I378" s="62" t="s">
        <v>683</v>
      </c>
    </row>
    <row r="379" spans="1:9">
      <c r="A379" s="44" t="s">
        <v>313</v>
      </c>
      <c r="B379" s="44" t="s">
        <v>252</v>
      </c>
      <c r="C379" s="44">
        <v>4</v>
      </c>
      <c r="D379" s="44" t="s">
        <v>319</v>
      </c>
      <c r="E379" s="44" t="s">
        <v>161</v>
      </c>
      <c r="F379" s="44" t="s">
        <v>221</v>
      </c>
      <c r="G379" s="9">
        <f>'10_Raw_Segment_Results'!F27</f>
        <v>256</v>
      </c>
      <c r="H379" s="62" t="s">
        <v>624</v>
      </c>
      <c r="I379" s="62" t="s">
        <v>684</v>
      </c>
    </row>
    <row r="380" spans="1:9">
      <c r="A380" s="44" t="s">
        <v>313</v>
      </c>
      <c r="B380" s="44" t="s">
        <v>252</v>
      </c>
      <c r="C380" s="44">
        <v>4</v>
      </c>
      <c r="D380" s="44" t="s">
        <v>319</v>
      </c>
      <c r="E380" s="44" t="s">
        <v>226</v>
      </c>
      <c r="F380" s="44" t="s">
        <v>221</v>
      </c>
      <c r="G380" s="9">
        <f>'10_Raw_Segment_Results'!G27</f>
        <v>2119</v>
      </c>
      <c r="H380" s="62" t="s">
        <v>624</v>
      </c>
      <c r="I380" s="62" t="s">
        <v>685</v>
      </c>
    </row>
    <row r="381" spans="1:9">
      <c r="A381" s="44" t="s">
        <v>313</v>
      </c>
      <c r="B381" s="44" t="s">
        <v>252</v>
      </c>
      <c r="C381" s="44">
        <v>4</v>
      </c>
      <c r="D381" s="44" t="s">
        <v>319</v>
      </c>
      <c r="E381" s="44" t="s">
        <v>229</v>
      </c>
      <c r="F381" s="44" t="s">
        <v>221</v>
      </c>
      <c r="G381" s="9">
        <f>'10_Raw_Segment_Results'!H27</f>
        <v>1478</v>
      </c>
      <c r="H381" s="62" t="s">
        <v>624</v>
      </c>
      <c r="I381" s="62" t="s">
        <v>686</v>
      </c>
    </row>
    <row r="382" spans="1:9">
      <c r="A382" s="44" t="s">
        <v>313</v>
      </c>
      <c r="B382" s="44" t="s">
        <v>252</v>
      </c>
      <c r="C382" s="44">
        <v>4</v>
      </c>
      <c r="D382" s="44" t="s">
        <v>319</v>
      </c>
      <c r="E382" s="44" t="s">
        <v>183</v>
      </c>
      <c r="F382" s="44" t="s">
        <v>235</v>
      </c>
      <c r="G382" s="15">
        <f>'10_Raw_Segment_Results'!I27</f>
        <v>0.14399999999999999</v>
      </c>
      <c r="H382" s="62" t="s">
        <v>624</v>
      </c>
      <c r="I382" s="62" t="s">
        <v>687</v>
      </c>
    </row>
    <row r="383" spans="1:9">
      <c r="A383" s="44" t="s">
        <v>313</v>
      </c>
      <c r="B383" s="44" t="s">
        <v>252</v>
      </c>
      <c r="C383" s="44">
        <v>4</v>
      </c>
      <c r="D383" s="44" t="s">
        <v>319</v>
      </c>
      <c r="E383" s="44" t="s">
        <v>186</v>
      </c>
      <c r="F383" s="44" t="s">
        <v>235</v>
      </c>
      <c r="G383" s="15"/>
      <c r="H383" s="62" t="s">
        <v>624</v>
      </c>
      <c r="I383" s="62" t="s">
        <v>688</v>
      </c>
    </row>
    <row r="384" spans="1:9">
      <c r="A384" s="44" t="s">
        <v>313</v>
      </c>
      <c r="B384" s="44" t="s">
        <v>252</v>
      </c>
      <c r="C384" s="44">
        <v>4</v>
      </c>
      <c r="D384" s="44" t="s">
        <v>320</v>
      </c>
      <c r="E384" s="44" t="s">
        <v>225</v>
      </c>
      <c r="F384" s="44" t="s">
        <v>221</v>
      </c>
      <c r="G384" s="9">
        <f>'10_Raw_Segment_Results'!C28</f>
        <v>75</v>
      </c>
      <c r="H384" s="62" t="s">
        <v>624</v>
      </c>
      <c r="I384" s="62" t="s">
        <v>689</v>
      </c>
    </row>
    <row r="385" spans="1:9">
      <c r="A385" s="44" t="s">
        <v>313</v>
      </c>
      <c r="B385" s="44" t="s">
        <v>252</v>
      </c>
      <c r="C385" s="44">
        <v>4</v>
      </c>
      <c r="D385" s="44" t="s">
        <v>320</v>
      </c>
      <c r="E385" s="44" t="s">
        <v>150</v>
      </c>
      <c r="F385" s="44" t="s">
        <v>221</v>
      </c>
      <c r="G385" s="9">
        <f>'10_Raw_Segment_Results'!D28</f>
        <v>187</v>
      </c>
      <c r="H385" s="62" t="s">
        <v>624</v>
      </c>
      <c r="I385" s="62" t="s">
        <v>690</v>
      </c>
    </row>
    <row r="386" spans="1:9">
      <c r="A386" s="44" t="s">
        <v>313</v>
      </c>
      <c r="B386" s="44" t="s">
        <v>252</v>
      </c>
      <c r="C386" s="44">
        <v>4</v>
      </c>
      <c r="D386" s="44" t="s">
        <v>320</v>
      </c>
      <c r="E386" s="44" t="s">
        <v>155</v>
      </c>
      <c r="F386" s="44" t="s">
        <v>221</v>
      </c>
      <c r="G386" s="9">
        <f>'10_Raw_Segment_Results'!E28</f>
        <v>-202</v>
      </c>
      <c r="H386" s="62" t="s">
        <v>624</v>
      </c>
      <c r="I386" s="62" t="s">
        <v>691</v>
      </c>
    </row>
    <row r="387" spans="1:9">
      <c r="A387" s="44" t="s">
        <v>313</v>
      </c>
      <c r="B387" s="44" t="s">
        <v>252</v>
      </c>
      <c r="C387" s="44">
        <v>4</v>
      </c>
      <c r="D387" s="44" t="s">
        <v>320</v>
      </c>
      <c r="E387" s="44" t="s">
        <v>161</v>
      </c>
      <c r="F387" s="44" t="s">
        <v>221</v>
      </c>
      <c r="G387" s="9">
        <f>'10_Raw_Segment_Results'!F28</f>
        <v>-1</v>
      </c>
      <c r="H387" s="62" t="s">
        <v>624</v>
      </c>
      <c r="I387" s="62" t="s">
        <v>692</v>
      </c>
    </row>
    <row r="388" spans="1:9">
      <c r="A388" s="44" t="s">
        <v>313</v>
      </c>
      <c r="B388" s="44" t="s">
        <v>252</v>
      </c>
      <c r="C388" s="44">
        <v>4</v>
      </c>
      <c r="D388" s="44" t="s">
        <v>320</v>
      </c>
      <c r="E388" s="44" t="s">
        <v>226</v>
      </c>
      <c r="F388" s="44" t="s">
        <v>221</v>
      </c>
      <c r="G388" s="9">
        <f>'10_Raw_Segment_Results'!G28</f>
        <v>51</v>
      </c>
      <c r="H388" s="62" t="s">
        <v>624</v>
      </c>
      <c r="I388" s="62" t="s">
        <v>693</v>
      </c>
    </row>
    <row r="389" spans="1:9">
      <c r="A389" s="44" t="s">
        <v>313</v>
      </c>
      <c r="B389" s="44" t="s">
        <v>252</v>
      </c>
      <c r="C389" s="44">
        <v>4</v>
      </c>
      <c r="D389" s="44" t="s">
        <v>320</v>
      </c>
      <c r="E389" s="44" t="s">
        <v>229</v>
      </c>
      <c r="F389" s="44" t="s">
        <v>221</v>
      </c>
      <c r="G389" s="9">
        <f>'10_Raw_Segment_Results'!H28</f>
        <v>-26</v>
      </c>
      <c r="H389" s="62" t="s">
        <v>624</v>
      </c>
      <c r="I389" s="62" t="s">
        <v>694</v>
      </c>
    </row>
    <row r="390" spans="1:9">
      <c r="A390" s="44" t="s">
        <v>313</v>
      </c>
      <c r="B390" s="44" t="s">
        <v>252</v>
      </c>
      <c r="C390" s="44">
        <v>4</v>
      </c>
      <c r="D390" s="44" t="s">
        <v>320</v>
      </c>
      <c r="E390" s="44" t="s">
        <v>183</v>
      </c>
      <c r="F390" s="44" t="s">
        <v>235</v>
      </c>
      <c r="G390" s="15"/>
      <c r="H390" s="62" t="s">
        <v>624</v>
      </c>
      <c r="I390" s="62" t="s">
        <v>695</v>
      </c>
    </row>
    <row r="391" spans="1:9">
      <c r="A391" s="44" t="s">
        <v>313</v>
      </c>
      <c r="B391" s="44" t="s">
        <v>252</v>
      </c>
      <c r="C391" s="44">
        <v>4</v>
      </c>
      <c r="D391" s="44" t="s">
        <v>320</v>
      </c>
      <c r="E391" s="44" t="s">
        <v>186</v>
      </c>
      <c r="F391" s="44" t="s">
        <v>235</v>
      </c>
      <c r="G391" s="15"/>
      <c r="H391" s="62" t="s">
        <v>624</v>
      </c>
      <c r="I391" s="62" t="s">
        <v>696</v>
      </c>
    </row>
    <row r="392" spans="1:9">
      <c r="A392" s="44" t="s">
        <v>313</v>
      </c>
      <c r="B392" s="44" t="s">
        <v>123</v>
      </c>
      <c r="C392" s="44">
        <v>5</v>
      </c>
      <c r="D392" s="44" t="s">
        <v>314</v>
      </c>
      <c r="E392" s="44" t="s">
        <v>225</v>
      </c>
      <c r="F392" s="44" t="s">
        <v>221</v>
      </c>
      <c r="G392" s="9">
        <f>'10_Raw_Segment_Results'!C29</f>
        <v>5049</v>
      </c>
      <c r="H392" s="62" t="s">
        <v>624</v>
      </c>
      <c r="I392" s="62" t="s">
        <v>697</v>
      </c>
    </row>
    <row r="393" spans="1:9">
      <c r="A393" s="44" t="s">
        <v>313</v>
      </c>
      <c r="B393" s="44" t="s">
        <v>123</v>
      </c>
      <c r="C393" s="44">
        <v>5</v>
      </c>
      <c r="D393" s="44" t="s">
        <v>314</v>
      </c>
      <c r="E393" s="44" t="s">
        <v>150</v>
      </c>
      <c r="F393" s="44" t="s">
        <v>221</v>
      </c>
      <c r="G393" s="9">
        <f>'10_Raw_Segment_Results'!D29</f>
        <v>3715</v>
      </c>
      <c r="H393" s="62" t="s">
        <v>624</v>
      </c>
      <c r="I393" s="62" t="s">
        <v>698</v>
      </c>
    </row>
    <row r="394" spans="1:9">
      <c r="A394" s="44" t="s">
        <v>313</v>
      </c>
      <c r="B394" s="44" t="s">
        <v>123</v>
      </c>
      <c r="C394" s="44">
        <v>5</v>
      </c>
      <c r="D394" s="44" t="s">
        <v>314</v>
      </c>
      <c r="E394" s="44" t="s">
        <v>155</v>
      </c>
      <c r="F394" s="44" t="s">
        <v>221</v>
      </c>
      <c r="G394" s="9">
        <f>'10_Raw_Segment_Results'!E29</f>
        <v>1334</v>
      </c>
      <c r="H394" s="62" t="s">
        <v>624</v>
      </c>
      <c r="I394" s="62" t="s">
        <v>699</v>
      </c>
    </row>
    <row r="395" spans="1:9">
      <c r="A395" s="44" t="s">
        <v>313</v>
      </c>
      <c r="B395" s="44" t="s">
        <v>123</v>
      </c>
      <c r="C395" s="44">
        <v>5</v>
      </c>
      <c r="D395" s="44" t="s">
        <v>314</v>
      </c>
      <c r="E395" s="44" t="s">
        <v>161</v>
      </c>
      <c r="F395" s="44" t="s">
        <v>221</v>
      </c>
      <c r="G395" s="9">
        <f>'10_Raw_Segment_Results'!F29</f>
        <v>492</v>
      </c>
      <c r="H395" s="62" t="s">
        <v>624</v>
      </c>
      <c r="I395" s="62" t="s">
        <v>700</v>
      </c>
    </row>
    <row r="396" spans="1:9">
      <c r="A396" s="44" t="s">
        <v>313</v>
      </c>
      <c r="B396" s="44" t="s">
        <v>123</v>
      </c>
      <c r="C396" s="44">
        <v>5</v>
      </c>
      <c r="D396" s="44" t="s">
        <v>314</v>
      </c>
      <c r="E396" s="44" t="s">
        <v>226</v>
      </c>
      <c r="F396" s="44" t="s">
        <v>221</v>
      </c>
      <c r="G396" s="9">
        <f>'10_Raw_Segment_Results'!G29</f>
        <v>1987</v>
      </c>
      <c r="H396" s="62" t="s">
        <v>624</v>
      </c>
      <c r="I396" s="62" t="s">
        <v>701</v>
      </c>
    </row>
    <row r="397" spans="1:9">
      <c r="A397" s="44" t="s">
        <v>313</v>
      </c>
      <c r="B397" s="44" t="s">
        <v>123</v>
      </c>
      <c r="C397" s="44">
        <v>5</v>
      </c>
      <c r="D397" s="44" t="s">
        <v>314</v>
      </c>
      <c r="E397" s="44" t="s">
        <v>229</v>
      </c>
      <c r="F397" s="44" t="s">
        <v>221</v>
      </c>
      <c r="G397" s="9">
        <f>'10_Raw_Segment_Results'!H29</f>
        <v>1870</v>
      </c>
      <c r="H397" s="62" t="s">
        <v>624</v>
      </c>
      <c r="I397" s="62" t="s">
        <v>702</v>
      </c>
    </row>
    <row r="398" spans="1:9">
      <c r="A398" s="44" t="s">
        <v>313</v>
      </c>
      <c r="B398" s="44" t="s">
        <v>123</v>
      </c>
      <c r="C398" s="44">
        <v>5</v>
      </c>
      <c r="D398" s="44" t="s">
        <v>314</v>
      </c>
      <c r="E398" s="44" t="s">
        <v>183</v>
      </c>
      <c r="F398" s="44" t="s">
        <v>235</v>
      </c>
      <c r="G398" s="15">
        <f>'10_Raw_Segment_Results'!I29</f>
        <v>0.254</v>
      </c>
      <c r="H398" s="62" t="s">
        <v>624</v>
      </c>
      <c r="I398" s="62" t="s">
        <v>703</v>
      </c>
    </row>
    <row r="399" spans="1:9">
      <c r="A399" s="44" t="s">
        <v>313</v>
      </c>
      <c r="B399" s="44" t="s">
        <v>123</v>
      </c>
      <c r="C399" s="44">
        <v>5</v>
      </c>
      <c r="D399" s="44" t="s">
        <v>314</v>
      </c>
      <c r="E399" s="44" t="s">
        <v>186</v>
      </c>
      <c r="F399" s="44" t="s">
        <v>235</v>
      </c>
      <c r="G399" s="15">
        <f>'10_Raw_Segment_Results'!J29</f>
        <v>0.39400000000000002</v>
      </c>
      <c r="H399" s="62" t="s">
        <v>624</v>
      </c>
      <c r="I399" s="62" t="s">
        <v>704</v>
      </c>
    </row>
    <row r="400" spans="1:9">
      <c r="A400" s="44" t="s">
        <v>313</v>
      </c>
      <c r="B400" s="44" t="s">
        <v>123</v>
      </c>
      <c r="C400" s="44">
        <v>5</v>
      </c>
      <c r="D400" s="44" t="s">
        <v>316</v>
      </c>
      <c r="E400" s="44" t="s">
        <v>225</v>
      </c>
      <c r="F400" s="44" t="s">
        <v>221</v>
      </c>
      <c r="G400" s="9">
        <f>'10_Raw_Segment_Results'!C30</f>
        <v>2159</v>
      </c>
      <c r="H400" s="62" t="s">
        <v>624</v>
      </c>
      <c r="I400" s="62" t="s">
        <v>705</v>
      </c>
    </row>
    <row r="401" spans="1:9">
      <c r="A401" s="44" t="s">
        <v>313</v>
      </c>
      <c r="B401" s="44" t="s">
        <v>123</v>
      </c>
      <c r="C401" s="44">
        <v>5</v>
      </c>
      <c r="D401" s="44" t="s">
        <v>316</v>
      </c>
      <c r="E401" s="44" t="s">
        <v>150</v>
      </c>
      <c r="F401" s="44" t="s">
        <v>221</v>
      </c>
      <c r="G401" s="9">
        <f>'10_Raw_Segment_Results'!D30</f>
        <v>1844</v>
      </c>
      <c r="H401" s="62" t="s">
        <v>624</v>
      </c>
      <c r="I401" s="62" t="s">
        <v>706</v>
      </c>
    </row>
    <row r="402" spans="1:9">
      <c r="A402" s="44" t="s">
        <v>313</v>
      </c>
      <c r="B402" s="44" t="s">
        <v>123</v>
      </c>
      <c r="C402" s="44">
        <v>5</v>
      </c>
      <c r="D402" s="44" t="s">
        <v>316</v>
      </c>
      <c r="E402" s="44" t="s">
        <v>155</v>
      </c>
      <c r="F402" s="44" t="s">
        <v>221</v>
      </c>
      <c r="G402" s="9">
        <f>'10_Raw_Segment_Results'!E30</f>
        <v>315</v>
      </c>
      <c r="H402" s="62" t="s">
        <v>624</v>
      </c>
      <c r="I402" s="62" t="s">
        <v>707</v>
      </c>
    </row>
    <row r="403" spans="1:9">
      <c r="A403" s="44" t="s">
        <v>313</v>
      </c>
      <c r="B403" s="44" t="s">
        <v>123</v>
      </c>
      <c r="C403" s="44">
        <v>5</v>
      </c>
      <c r="D403" s="44" t="s">
        <v>316</v>
      </c>
      <c r="E403" s="44" t="s">
        <v>161</v>
      </c>
      <c r="F403" s="44" t="s">
        <v>221</v>
      </c>
      <c r="G403" s="9">
        <f>'10_Raw_Segment_Results'!F30</f>
        <v>247</v>
      </c>
      <c r="H403" s="62" t="s">
        <v>624</v>
      </c>
      <c r="I403" s="62" t="s">
        <v>708</v>
      </c>
    </row>
    <row r="404" spans="1:9">
      <c r="A404" s="44" t="s">
        <v>313</v>
      </c>
      <c r="B404" s="44" t="s">
        <v>123</v>
      </c>
      <c r="C404" s="44">
        <v>5</v>
      </c>
      <c r="D404" s="44" t="s">
        <v>316</v>
      </c>
      <c r="E404" s="44" t="s">
        <v>226</v>
      </c>
      <c r="F404" s="44" t="s">
        <v>221</v>
      </c>
      <c r="G404" s="9">
        <f>'10_Raw_Segment_Results'!G30</f>
        <v>730</v>
      </c>
      <c r="H404" s="62" t="s">
        <v>624</v>
      </c>
      <c r="I404" s="62" t="s">
        <v>709</v>
      </c>
    </row>
    <row r="405" spans="1:9">
      <c r="A405" s="44" t="s">
        <v>313</v>
      </c>
      <c r="B405" s="44" t="s">
        <v>123</v>
      </c>
      <c r="C405" s="44">
        <v>5</v>
      </c>
      <c r="D405" s="44" t="s">
        <v>316</v>
      </c>
      <c r="E405" s="44" t="s">
        <v>229</v>
      </c>
      <c r="F405" s="44" t="s">
        <v>221</v>
      </c>
      <c r="G405" s="9">
        <f>'10_Raw_Segment_Results'!H30</f>
        <v>854</v>
      </c>
      <c r="H405" s="62" t="s">
        <v>624</v>
      </c>
      <c r="I405" s="62" t="s">
        <v>710</v>
      </c>
    </row>
    <row r="406" spans="1:9">
      <c r="A406" s="44" t="s">
        <v>313</v>
      </c>
      <c r="B406" s="44" t="s">
        <v>123</v>
      </c>
      <c r="C406" s="44">
        <v>5</v>
      </c>
      <c r="D406" s="44" t="s">
        <v>316</v>
      </c>
      <c r="E406" s="44" t="s">
        <v>183</v>
      </c>
      <c r="F406" s="44" t="s">
        <v>235</v>
      </c>
      <c r="G406" s="15">
        <f>'10_Raw_Segment_Results'!I30</f>
        <v>0.17399999999999999</v>
      </c>
      <c r="H406" s="62" t="s">
        <v>624</v>
      </c>
      <c r="I406" s="62" t="s">
        <v>711</v>
      </c>
    </row>
    <row r="407" spans="1:9">
      <c r="A407" s="44" t="s">
        <v>313</v>
      </c>
      <c r="B407" s="44" t="s">
        <v>123</v>
      </c>
      <c r="C407" s="44">
        <v>5</v>
      </c>
      <c r="D407" s="44" t="s">
        <v>316</v>
      </c>
      <c r="E407" s="44" t="s">
        <v>186</v>
      </c>
      <c r="F407" s="44" t="s">
        <v>235</v>
      </c>
      <c r="G407" s="15">
        <f>'10_Raw_Segment_Results'!J30</f>
        <v>0.33800000000000002</v>
      </c>
      <c r="H407" s="62" t="s">
        <v>624</v>
      </c>
      <c r="I407" s="62" t="s">
        <v>712</v>
      </c>
    </row>
    <row r="408" spans="1:9">
      <c r="A408" s="44" t="s">
        <v>313</v>
      </c>
      <c r="B408" s="44" t="s">
        <v>123</v>
      </c>
      <c r="C408" s="44">
        <v>5</v>
      </c>
      <c r="D408" s="44" t="s">
        <v>317</v>
      </c>
      <c r="E408" s="44" t="s">
        <v>225</v>
      </c>
      <c r="F408" s="44" t="s">
        <v>221</v>
      </c>
      <c r="G408" s="9">
        <f>'10_Raw_Segment_Results'!C31</f>
        <v>5954</v>
      </c>
      <c r="H408" s="62" t="s">
        <v>624</v>
      </c>
      <c r="I408" s="62" t="s">
        <v>713</v>
      </c>
    </row>
    <row r="409" spans="1:9">
      <c r="A409" s="44" t="s">
        <v>313</v>
      </c>
      <c r="B409" s="44" t="s">
        <v>123</v>
      </c>
      <c r="C409" s="44">
        <v>5</v>
      </c>
      <c r="D409" s="44" t="s">
        <v>317</v>
      </c>
      <c r="E409" s="44" t="s">
        <v>150</v>
      </c>
      <c r="F409" s="44" t="s">
        <v>221</v>
      </c>
      <c r="G409" s="9">
        <f>'10_Raw_Segment_Results'!D31</f>
        <v>1429</v>
      </c>
      <c r="H409" s="62" t="s">
        <v>624</v>
      </c>
      <c r="I409" s="62" t="s">
        <v>714</v>
      </c>
    </row>
    <row r="410" spans="1:9">
      <c r="A410" s="44" t="s">
        <v>313</v>
      </c>
      <c r="B410" s="44" t="s">
        <v>123</v>
      </c>
      <c r="C410" s="44">
        <v>5</v>
      </c>
      <c r="D410" s="44" t="s">
        <v>317</v>
      </c>
      <c r="E410" s="44" t="s">
        <v>155</v>
      </c>
      <c r="F410" s="44" t="s">
        <v>221</v>
      </c>
      <c r="G410" s="9">
        <f>'10_Raw_Segment_Results'!E31</f>
        <v>4525</v>
      </c>
      <c r="H410" s="62" t="s">
        <v>624</v>
      </c>
      <c r="I410" s="62" t="s">
        <v>715</v>
      </c>
    </row>
    <row r="411" spans="1:9">
      <c r="A411" s="44" t="s">
        <v>313</v>
      </c>
      <c r="B411" s="44" t="s">
        <v>123</v>
      </c>
      <c r="C411" s="44">
        <v>5</v>
      </c>
      <c r="D411" s="44" t="s">
        <v>317</v>
      </c>
      <c r="E411" s="44" t="s">
        <v>161</v>
      </c>
      <c r="F411" s="44" t="s">
        <v>221</v>
      </c>
      <c r="G411" s="9">
        <f>'10_Raw_Segment_Results'!F31</f>
        <v>55</v>
      </c>
      <c r="H411" s="62" t="s">
        <v>624</v>
      </c>
      <c r="I411" s="62" t="s">
        <v>716</v>
      </c>
    </row>
    <row r="412" spans="1:9">
      <c r="A412" s="44" t="s">
        <v>313</v>
      </c>
      <c r="B412" s="44" t="s">
        <v>123</v>
      </c>
      <c r="C412" s="44">
        <v>5</v>
      </c>
      <c r="D412" s="44" t="s">
        <v>317</v>
      </c>
      <c r="E412" s="44" t="s">
        <v>226</v>
      </c>
      <c r="F412" s="44" t="s">
        <v>221</v>
      </c>
      <c r="G412" s="9">
        <f>'10_Raw_Segment_Results'!G31</f>
        <v>4379</v>
      </c>
      <c r="H412" s="62" t="s">
        <v>624</v>
      </c>
      <c r="I412" s="62" t="s">
        <v>717</v>
      </c>
    </row>
    <row r="413" spans="1:9">
      <c r="A413" s="44" t="s">
        <v>313</v>
      </c>
      <c r="B413" s="44" t="s">
        <v>123</v>
      </c>
      <c r="C413" s="44">
        <v>5</v>
      </c>
      <c r="D413" s="44" t="s">
        <v>317</v>
      </c>
      <c r="E413" s="44" t="s">
        <v>229</v>
      </c>
      <c r="F413" s="44" t="s">
        <v>221</v>
      </c>
      <c r="G413" s="9">
        <f>'10_Raw_Segment_Results'!H31</f>
        <v>1185</v>
      </c>
      <c r="H413" s="62" t="s">
        <v>624</v>
      </c>
      <c r="I413" s="62" t="s">
        <v>718</v>
      </c>
    </row>
    <row r="414" spans="1:9">
      <c r="A414" s="44" t="s">
        <v>313</v>
      </c>
      <c r="B414" s="44" t="s">
        <v>123</v>
      </c>
      <c r="C414" s="44">
        <v>5</v>
      </c>
      <c r="D414" s="44" t="s">
        <v>317</v>
      </c>
      <c r="E414" s="44" t="s">
        <v>183</v>
      </c>
      <c r="F414" s="44" t="s">
        <v>235</v>
      </c>
      <c r="G414" s="15">
        <f>'10_Raw_Segment_Results'!I31</f>
        <v>0.186</v>
      </c>
      <c r="H414" s="62" t="s">
        <v>624</v>
      </c>
      <c r="I414" s="62" t="s">
        <v>719</v>
      </c>
    </row>
    <row r="415" spans="1:9">
      <c r="A415" s="44" t="s">
        <v>313</v>
      </c>
      <c r="B415" s="44" t="s">
        <v>123</v>
      </c>
      <c r="C415" s="44">
        <v>5</v>
      </c>
      <c r="D415" s="44" t="s">
        <v>317</v>
      </c>
      <c r="E415" s="44" t="s">
        <v>186</v>
      </c>
      <c r="F415" s="44" t="s">
        <v>235</v>
      </c>
      <c r="G415" s="15"/>
      <c r="H415" s="62" t="s">
        <v>624</v>
      </c>
      <c r="I415" s="62" t="s">
        <v>720</v>
      </c>
    </row>
    <row r="416" spans="1:9">
      <c r="A416" s="44" t="s">
        <v>313</v>
      </c>
      <c r="B416" s="44" t="s">
        <v>123</v>
      </c>
      <c r="C416" s="44">
        <v>5</v>
      </c>
      <c r="D416" s="44" t="s">
        <v>318</v>
      </c>
      <c r="E416" s="44" t="s">
        <v>225</v>
      </c>
      <c r="F416" s="44" t="s">
        <v>221</v>
      </c>
      <c r="G416" s="9">
        <f>'10_Raw_Segment_Results'!C32</f>
        <v>345</v>
      </c>
      <c r="H416" s="62" t="s">
        <v>624</v>
      </c>
      <c r="I416" s="62" t="s">
        <v>721</v>
      </c>
    </row>
    <row r="417" spans="1:9">
      <c r="A417" s="44" t="s">
        <v>313</v>
      </c>
      <c r="B417" s="44" t="s">
        <v>123</v>
      </c>
      <c r="C417" s="44">
        <v>5</v>
      </c>
      <c r="D417" s="44" t="s">
        <v>318</v>
      </c>
      <c r="E417" s="44" t="s">
        <v>150</v>
      </c>
      <c r="F417" s="44" t="s">
        <v>221</v>
      </c>
      <c r="G417" s="9"/>
      <c r="H417" s="62" t="s">
        <v>624</v>
      </c>
      <c r="I417" s="62" t="s">
        <v>722</v>
      </c>
    </row>
    <row r="418" spans="1:9">
      <c r="A418" s="44" t="s">
        <v>313</v>
      </c>
      <c r="B418" s="44" t="s">
        <v>123</v>
      </c>
      <c r="C418" s="44">
        <v>5</v>
      </c>
      <c r="D418" s="44" t="s">
        <v>318</v>
      </c>
      <c r="E418" s="44" t="s">
        <v>155</v>
      </c>
      <c r="F418" s="44" t="s">
        <v>221</v>
      </c>
      <c r="G418" s="9"/>
      <c r="H418" s="62" t="s">
        <v>624</v>
      </c>
      <c r="I418" s="62" t="s">
        <v>723</v>
      </c>
    </row>
    <row r="419" spans="1:9">
      <c r="A419" s="44" t="s">
        <v>313</v>
      </c>
      <c r="B419" s="44" t="s">
        <v>123</v>
      </c>
      <c r="C419" s="44">
        <v>5</v>
      </c>
      <c r="D419" s="44" t="s">
        <v>318</v>
      </c>
      <c r="E419" s="44" t="s">
        <v>161</v>
      </c>
      <c r="F419" s="44" t="s">
        <v>221</v>
      </c>
      <c r="G419" s="9">
        <f>'10_Raw_Segment_Results'!F32</f>
        <v>0</v>
      </c>
      <c r="H419" s="62" t="s">
        <v>624</v>
      </c>
      <c r="I419" s="62" t="s">
        <v>724</v>
      </c>
    </row>
    <row r="420" spans="1:9">
      <c r="A420" s="44" t="s">
        <v>313</v>
      </c>
      <c r="B420" s="44" t="s">
        <v>123</v>
      </c>
      <c r="C420" s="44">
        <v>5</v>
      </c>
      <c r="D420" s="44" t="s">
        <v>318</v>
      </c>
      <c r="E420" s="44" t="s">
        <v>226</v>
      </c>
      <c r="F420" s="44" t="s">
        <v>221</v>
      </c>
      <c r="G420" s="9">
        <f>'10_Raw_Segment_Results'!G32</f>
        <v>75</v>
      </c>
      <c r="H420" s="62" t="s">
        <v>624</v>
      </c>
      <c r="I420" s="62" t="s">
        <v>725</v>
      </c>
    </row>
    <row r="421" spans="1:9">
      <c r="A421" s="44" t="s">
        <v>313</v>
      </c>
      <c r="B421" s="44" t="s">
        <v>123</v>
      </c>
      <c r="C421" s="44">
        <v>5</v>
      </c>
      <c r="D421" s="44" t="s">
        <v>318</v>
      </c>
      <c r="E421" s="44" t="s">
        <v>229</v>
      </c>
      <c r="F421" s="44" t="s">
        <v>221</v>
      </c>
      <c r="G421" s="9">
        <f>'10_Raw_Segment_Results'!H32</f>
        <v>218</v>
      </c>
      <c r="H421" s="62" t="s">
        <v>624</v>
      </c>
      <c r="I421" s="62" t="s">
        <v>726</v>
      </c>
    </row>
    <row r="422" spans="1:9">
      <c r="A422" s="44" t="s">
        <v>313</v>
      </c>
      <c r="B422" s="44" t="s">
        <v>123</v>
      </c>
      <c r="C422" s="44">
        <v>5</v>
      </c>
      <c r="D422" s="44" t="s">
        <v>318</v>
      </c>
      <c r="E422" s="44" t="s">
        <v>183</v>
      </c>
      <c r="F422" s="44" t="s">
        <v>235</v>
      </c>
      <c r="G422" s="15">
        <f>'10_Raw_Segment_Results'!I32</f>
        <v>0.25900000000000001</v>
      </c>
      <c r="H422" s="62" t="s">
        <v>624</v>
      </c>
      <c r="I422" s="62" t="s">
        <v>727</v>
      </c>
    </row>
    <row r="423" spans="1:9">
      <c r="A423" s="44" t="s">
        <v>313</v>
      </c>
      <c r="B423" s="44" t="s">
        <v>123</v>
      </c>
      <c r="C423" s="44">
        <v>5</v>
      </c>
      <c r="D423" s="44" t="s">
        <v>318</v>
      </c>
      <c r="E423" s="44" t="s">
        <v>186</v>
      </c>
      <c r="F423" s="44" t="s">
        <v>235</v>
      </c>
      <c r="G423" s="15"/>
      <c r="H423" s="62" t="s">
        <v>624</v>
      </c>
      <c r="I423" s="62" t="s">
        <v>728</v>
      </c>
    </row>
    <row r="424" spans="1:9">
      <c r="A424" s="44" t="s">
        <v>313</v>
      </c>
      <c r="B424" s="44" t="s">
        <v>123</v>
      </c>
      <c r="C424" s="44">
        <v>5</v>
      </c>
      <c r="D424" s="44" t="s">
        <v>319</v>
      </c>
      <c r="E424" s="44" t="s">
        <v>225</v>
      </c>
      <c r="F424" s="44" t="s">
        <v>221</v>
      </c>
      <c r="G424" s="9">
        <f>'10_Raw_Segment_Results'!C33</f>
        <v>3943</v>
      </c>
      <c r="H424" s="62" t="s">
        <v>624</v>
      </c>
      <c r="I424" s="62" t="s">
        <v>729</v>
      </c>
    </row>
    <row r="425" spans="1:9">
      <c r="A425" s="44" t="s">
        <v>313</v>
      </c>
      <c r="B425" s="44" t="s">
        <v>123</v>
      </c>
      <c r="C425" s="44">
        <v>5</v>
      </c>
      <c r="D425" s="44" t="s">
        <v>319</v>
      </c>
      <c r="E425" s="44" t="s">
        <v>150</v>
      </c>
      <c r="F425" s="44" t="s">
        <v>221</v>
      </c>
      <c r="G425" s="9">
        <f>'10_Raw_Segment_Results'!D33</f>
        <v>1315</v>
      </c>
      <c r="H425" s="62" t="s">
        <v>624</v>
      </c>
      <c r="I425" s="62" t="s">
        <v>730</v>
      </c>
    </row>
    <row r="426" spans="1:9">
      <c r="A426" s="44" t="s">
        <v>313</v>
      </c>
      <c r="B426" s="44" t="s">
        <v>123</v>
      </c>
      <c r="C426" s="44">
        <v>5</v>
      </c>
      <c r="D426" s="44" t="s">
        <v>319</v>
      </c>
      <c r="E426" s="44" t="s">
        <v>155</v>
      </c>
      <c r="F426" s="44" t="s">
        <v>221</v>
      </c>
      <c r="G426" s="9">
        <f>'10_Raw_Segment_Results'!E33</f>
        <v>2628</v>
      </c>
      <c r="H426" s="62" t="s">
        <v>624</v>
      </c>
      <c r="I426" s="62" t="s">
        <v>731</v>
      </c>
    </row>
    <row r="427" spans="1:9">
      <c r="A427" s="44" t="s">
        <v>313</v>
      </c>
      <c r="B427" s="44" t="s">
        <v>123</v>
      </c>
      <c r="C427" s="44">
        <v>5</v>
      </c>
      <c r="D427" s="44" t="s">
        <v>319</v>
      </c>
      <c r="E427" s="44" t="s">
        <v>161</v>
      </c>
      <c r="F427" s="44" t="s">
        <v>221</v>
      </c>
      <c r="G427" s="9">
        <f>'10_Raw_Segment_Results'!F33</f>
        <v>117</v>
      </c>
      <c r="H427" s="62" t="s">
        <v>624</v>
      </c>
      <c r="I427" s="62" t="s">
        <v>732</v>
      </c>
    </row>
    <row r="428" spans="1:9">
      <c r="A428" s="44" t="s">
        <v>313</v>
      </c>
      <c r="B428" s="44" t="s">
        <v>123</v>
      </c>
      <c r="C428" s="44">
        <v>5</v>
      </c>
      <c r="D428" s="44" t="s">
        <v>319</v>
      </c>
      <c r="E428" s="44" t="s">
        <v>226</v>
      </c>
      <c r="F428" s="44" t="s">
        <v>221</v>
      </c>
      <c r="G428" s="9">
        <f>'10_Raw_Segment_Results'!G33</f>
        <v>2097</v>
      </c>
      <c r="H428" s="62" t="s">
        <v>624</v>
      </c>
      <c r="I428" s="62" t="s">
        <v>733</v>
      </c>
    </row>
    <row r="429" spans="1:9">
      <c r="A429" s="44" t="s">
        <v>313</v>
      </c>
      <c r="B429" s="44" t="s">
        <v>123</v>
      </c>
      <c r="C429" s="44">
        <v>5</v>
      </c>
      <c r="D429" s="44" t="s">
        <v>319</v>
      </c>
      <c r="E429" s="44" t="s">
        <v>229</v>
      </c>
      <c r="F429" s="44" t="s">
        <v>221</v>
      </c>
      <c r="G429" s="9">
        <f>'10_Raw_Segment_Results'!H33</f>
        <v>1484</v>
      </c>
      <c r="H429" s="62" t="s">
        <v>624</v>
      </c>
      <c r="I429" s="62" t="s">
        <v>734</v>
      </c>
    </row>
    <row r="430" spans="1:9">
      <c r="A430" s="44" t="s">
        <v>313</v>
      </c>
      <c r="B430" s="44" t="s">
        <v>123</v>
      </c>
      <c r="C430" s="44">
        <v>5</v>
      </c>
      <c r="D430" s="44" t="s">
        <v>319</v>
      </c>
      <c r="E430" s="44" t="s">
        <v>183</v>
      </c>
      <c r="F430" s="44" t="s">
        <v>235</v>
      </c>
      <c r="G430" s="15">
        <f>'10_Raw_Segment_Results'!I33</f>
        <v>0.14799999999999999</v>
      </c>
      <c r="H430" s="62" t="s">
        <v>624</v>
      </c>
      <c r="I430" s="62" t="s">
        <v>735</v>
      </c>
    </row>
    <row r="431" spans="1:9">
      <c r="A431" s="44" t="s">
        <v>313</v>
      </c>
      <c r="B431" s="44" t="s">
        <v>123</v>
      </c>
      <c r="C431" s="44">
        <v>5</v>
      </c>
      <c r="D431" s="44" t="s">
        <v>319</v>
      </c>
      <c r="E431" s="44" t="s">
        <v>186</v>
      </c>
      <c r="F431" s="44" t="s">
        <v>235</v>
      </c>
      <c r="G431" s="15"/>
      <c r="H431" s="62" t="s">
        <v>624</v>
      </c>
      <c r="I431" s="62" t="s">
        <v>736</v>
      </c>
    </row>
    <row r="432" spans="1:9">
      <c r="A432" s="44" t="s">
        <v>313</v>
      </c>
      <c r="B432" s="44" t="s">
        <v>123</v>
      </c>
      <c r="C432" s="44">
        <v>5</v>
      </c>
      <c r="D432" s="44" t="s">
        <v>320</v>
      </c>
      <c r="E432" s="44" t="s">
        <v>225</v>
      </c>
      <c r="F432" s="44" t="s">
        <v>221</v>
      </c>
      <c r="G432" s="9">
        <f>'10_Raw_Segment_Results'!C34</f>
        <v>3</v>
      </c>
      <c r="H432" s="62" t="s">
        <v>624</v>
      </c>
      <c r="I432" s="62" t="s">
        <v>737</v>
      </c>
    </row>
    <row r="433" spans="1:9">
      <c r="A433" s="44" t="s">
        <v>313</v>
      </c>
      <c r="B433" s="44" t="s">
        <v>123</v>
      </c>
      <c r="C433" s="44">
        <v>5</v>
      </c>
      <c r="D433" s="44" t="s">
        <v>320</v>
      </c>
      <c r="E433" s="44" t="s">
        <v>150</v>
      </c>
      <c r="F433" s="44" t="s">
        <v>221</v>
      </c>
      <c r="G433" s="9">
        <f>'10_Raw_Segment_Results'!D34</f>
        <v>203</v>
      </c>
      <c r="H433" s="62" t="s">
        <v>624</v>
      </c>
      <c r="I433" s="62" t="s">
        <v>738</v>
      </c>
    </row>
    <row r="434" spans="1:9">
      <c r="A434" s="44" t="s">
        <v>313</v>
      </c>
      <c r="B434" s="44" t="s">
        <v>123</v>
      </c>
      <c r="C434" s="44">
        <v>5</v>
      </c>
      <c r="D434" s="44" t="s">
        <v>320</v>
      </c>
      <c r="E434" s="44" t="s">
        <v>155</v>
      </c>
      <c r="F434" s="44" t="s">
        <v>221</v>
      </c>
      <c r="G434" s="9">
        <f>'10_Raw_Segment_Results'!E34</f>
        <v>-279</v>
      </c>
      <c r="H434" s="62" t="s">
        <v>624</v>
      </c>
      <c r="I434" s="62" t="s">
        <v>739</v>
      </c>
    </row>
    <row r="435" spans="1:9">
      <c r="A435" s="44" t="s">
        <v>313</v>
      </c>
      <c r="B435" s="44" t="s">
        <v>123</v>
      </c>
      <c r="C435" s="44">
        <v>5</v>
      </c>
      <c r="D435" s="44" t="s">
        <v>320</v>
      </c>
      <c r="E435" s="44" t="s">
        <v>161</v>
      </c>
      <c r="F435" s="44" t="s">
        <v>221</v>
      </c>
      <c r="G435" s="9">
        <f>'10_Raw_Segment_Results'!F34</f>
        <v>1</v>
      </c>
      <c r="H435" s="62" t="s">
        <v>624</v>
      </c>
      <c r="I435" s="62" t="s">
        <v>740</v>
      </c>
    </row>
    <row r="436" spans="1:9">
      <c r="A436" s="44" t="s">
        <v>313</v>
      </c>
      <c r="B436" s="44" t="s">
        <v>123</v>
      </c>
      <c r="C436" s="44">
        <v>5</v>
      </c>
      <c r="D436" s="44" t="s">
        <v>320</v>
      </c>
      <c r="E436" s="44" t="s">
        <v>226</v>
      </c>
      <c r="F436" s="44" t="s">
        <v>221</v>
      </c>
      <c r="G436" s="9">
        <f>'10_Raw_Segment_Results'!G34</f>
        <v>95</v>
      </c>
      <c r="H436" s="62" t="s">
        <v>624</v>
      </c>
      <c r="I436" s="62" t="s">
        <v>741</v>
      </c>
    </row>
    <row r="437" spans="1:9">
      <c r="A437" s="44" t="s">
        <v>313</v>
      </c>
      <c r="B437" s="44" t="s">
        <v>123</v>
      </c>
      <c r="C437" s="44">
        <v>5</v>
      </c>
      <c r="D437" s="44" t="s">
        <v>320</v>
      </c>
      <c r="E437" s="44" t="s">
        <v>229</v>
      </c>
      <c r="F437" s="44" t="s">
        <v>221</v>
      </c>
      <c r="G437" s="9">
        <f>'10_Raw_Segment_Results'!H34</f>
        <v>-102</v>
      </c>
      <c r="H437" s="62" t="s">
        <v>624</v>
      </c>
      <c r="I437" s="62" t="s">
        <v>742</v>
      </c>
    </row>
    <row r="438" spans="1:9">
      <c r="A438" s="44" t="s">
        <v>313</v>
      </c>
      <c r="B438" s="44" t="s">
        <v>123</v>
      </c>
      <c r="C438" s="44">
        <v>5</v>
      </c>
      <c r="D438" s="44" t="s">
        <v>320</v>
      </c>
      <c r="E438" s="44" t="s">
        <v>183</v>
      </c>
      <c r="F438" s="44" t="s">
        <v>235</v>
      </c>
      <c r="G438" s="15"/>
      <c r="H438" s="62" t="s">
        <v>624</v>
      </c>
      <c r="I438" s="62" t="s">
        <v>743</v>
      </c>
    </row>
    <row r="439" spans="1:9">
      <c r="A439" s="44" t="s">
        <v>313</v>
      </c>
      <c r="B439" s="44" t="s">
        <v>123</v>
      </c>
      <c r="C439" s="44">
        <v>5</v>
      </c>
      <c r="D439" s="44" t="s">
        <v>320</v>
      </c>
      <c r="E439" s="44" t="s">
        <v>186</v>
      </c>
      <c r="F439" s="44" t="s">
        <v>235</v>
      </c>
      <c r="G439" s="15"/>
      <c r="H439" s="62" t="s">
        <v>624</v>
      </c>
      <c r="I439" s="62" t="s">
        <v>744</v>
      </c>
    </row>
  </sheetData>
  <mergeCells count="2">
    <mergeCell ref="A1:I2"/>
    <mergeCell ref="A3:I3"/>
  </mergeCell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7"/>
  <sheetViews>
    <sheetView showGridLines="0" topLeftCell="A10" workbookViewId="0">
      <selection activeCell="B6" sqref="B6"/>
    </sheetView>
  </sheetViews>
  <sheetFormatPr defaultRowHeight="14.25"/>
  <cols>
    <col min="1" max="1" width="24" customWidth="1"/>
    <col min="2" max="6" width="14" customWidth="1"/>
    <col min="7" max="7" width="17" customWidth="1"/>
    <col min="8" max="8" width="13" customWidth="1"/>
    <col min="9" max="9" width="39" customWidth="1"/>
    <col min="10" max="10" width="3" customWidth="1"/>
  </cols>
  <sheetData>
    <row r="1" spans="1:10">
      <c r="A1" s="139" t="s">
        <v>745</v>
      </c>
      <c r="B1" s="139"/>
      <c r="C1" s="139"/>
      <c r="D1" s="139"/>
      <c r="E1" s="139"/>
      <c r="F1" s="139"/>
      <c r="G1" s="139"/>
      <c r="H1" s="139"/>
      <c r="I1" s="139"/>
      <c r="J1" s="139"/>
    </row>
    <row r="2" spans="1:10">
      <c r="A2" s="139"/>
      <c r="B2" s="139"/>
      <c r="C2" s="139"/>
      <c r="D2" s="139"/>
      <c r="E2" s="139"/>
      <c r="F2" s="139"/>
      <c r="G2" s="139"/>
      <c r="H2" s="139"/>
      <c r="I2" s="139"/>
      <c r="J2" s="139"/>
    </row>
    <row r="3" spans="1:10">
      <c r="A3" s="140" t="s">
        <v>746</v>
      </c>
      <c r="B3" s="140"/>
      <c r="C3" s="140"/>
      <c r="D3" s="140"/>
      <c r="E3" s="140"/>
      <c r="F3" s="140"/>
      <c r="G3" s="140"/>
      <c r="H3" s="140"/>
      <c r="I3" s="140"/>
      <c r="J3" s="140"/>
    </row>
    <row r="5" spans="1:10" ht="15">
      <c r="A5" s="59" t="s">
        <v>395</v>
      </c>
      <c r="B5" s="61" t="s">
        <v>396</v>
      </c>
    </row>
    <row r="6" spans="1:10" ht="15">
      <c r="A6" t="s">
        <v>457</v>
      </c>
      <c r="B6" s="67" t="s">
        <v>229</v>
      </c>
    </row>
    <row r="8" spans="1:10" ht="30">
      <c r="A8" s="59" t="s">
        <v>313</v>
      </c>
      <c r="B8" s="60" t="s">
        <v>219</v>
      </c>
      <c r="C8" s="60" t="s">
        <v>220</v>
      </c>
      <c r="D8" s="60" t="s">
        <v>105</v>
      </c>
      <c r="E8" s="60" t="s">
        <v>252</v>
      </c>
      <c r="F8" s="60" t="s">
        <v>123</v>
      </c>
      <c r="G8" s="60" t="s">
        <v>327</v>
      </c>
      <c r="H8" s="60" t="s">
        <v>747</v>
      </c>
      <c r="I8" s="61" t="s">
        <v>402</v>
      </c>
    </row>
    <row r="9" spans="1:10">
      <c r="A9" t="s">
        <v>314</v>
      </c>
      <c r="B9" s="32">
        <f>IF(COUNTIFS('23_Pivot_Source'!$A$5:$A$439,"Segment",'23_Pivot_Source'!$B$5:$B$439,B$8,'23_Pivot_Source'!$D$5:$D$439,$A9,'23_Pivot_Source'!$E$5:$E$439,$B$6,'23_Pivot_Source'!$G$5:$G$439,"&lt;&gt;")=0,"",SUMIFS('23_Pivot_Source'!$G$5:$G$439,'23_Pivot_Source'!$A$5:$A$439,"Segment",'23_Pivot_Source'!$B$5:$B$439,B$8,'23_Pivot_Source'!$D$5:$D$439,$A9,'23_Pivot_Source'!$E$5:$E$439,$B$6))</f>
        <v>5418</v>
      </c>
      <c r="C9" s="32">
        <f>IF(COUNTIFS('23_Pivot_Source'!$A$5:$A$439,"Segment",'23_Pivot_Source'!$B$5:$B$439,C$8,'23_Pivot_Source'!$D$5:$D$439,$A9,'23_Pivot_Source'!$E$5:$E$439,$B$6,'23_Pivot_Source'!$G$5:$G$439,"&lt;&gt;")=0,"",SUMIFS('23_Pivot_Source'!$G$5:$G$439,'23_Pivot_Source'!$A$5:$A$439,"Segment",'23_Pivot_Source'!$B$5:$B$439,C$8,'23_Pivot_Source'!$D$5:$D$439,$A9,'23_Pivot_Source'!$E$5:$E$439,$B$6))</f>
        <v>5921</v>
      </c>
      <c r="D9" s="32">
        <f>IF(COUNTIFS('23_Pivot_Source'!$A$5:$A$439,"Segment",'23_Pivot_Source'!$B$5:$B$439,D$8,'23_Pivot_Source'!$D$5:$D$439,$A9,'23_Pivot_Source'!$E$5:$E$439,$B$6,'23_Pivot_Source'!$G$5:$G$439,"&lt;&gt;")=0,"",SUMIFS('23_Pivot_Source'!$G$5:$G$439,'23_Pivot_Source'!$A$5:$A$439,"Segment",'23_Pivot_Source'!$B$5:$B$439,D$8,'23_Pivot_Source'!$D$5:$D$439,$A9,'23_Pivot_Source'!$E$5:$E$439,$B$6))</f>
        <v>7105</v>
      </c>
      <c r="E9" s="32">
        <f>IF(COUNTIFS('23_Pivot_Source'!$A$5:$A$439,"Segment",'23_Pivot_Source'!$B$5:$B$439,E$8,'23_Pivot_Source'!$D$5:$D$439,$A9,'23_Pivot_Source'!$E$5:$E$439,$B$6,'23_Pivot_Source'!$G$5:$G$439,"&lt;&gt;")=0,"",SUMIFS('23_Pivot_Source'!$G$5:$G$439,'23_Pivot_Source'!$A$5:$A$439,"Segment",'23_Pivot_Source'!$B$5:$B$439,E$8,'23_Pivot_Source'!$D$5:$D$439,$A9,'23_Pivot_Source'!$E$5:$E$439,$B$6))</f>
        <v>1962</v>
      </c>
      <c r="F9" s="32">
        <f>IF(COUNTIFS('23_Pivot_Source'!$A$5:$A$439,"Segment",'23_Pivot_Source'!$B$5:$B$439,F$8,'23_Pivot_Source'!$D$5:$D$439,$A9,'23_Pivot_Source'!$E$5:$E$439,$B$6,'23_Pivot_Source'!$G$5:$G$439,"&lt;&gt;")=0,"",SUMIFS('23_Pivot_Source'!$G$5:$G$439,'23_Pivot_Source'!$A$5:$A$439,"Segment",'23_Pivot_Source'!$B$5:$B$439,F$8,'23_Pivot_Source'!$D$5:$D$439,$A9,'23_Pivot_Source'!$E$5:$E$439,$B$6))</f>
        <v>1870</v>
      </c>
      <c r="G9" s="34">
        <f t="shared" ref="G9:G14" si="0">IF(OR(B9="",D9=""),"",IFERROR(D9/B9-1,""))</f>
        <v>0.31136950904392768</v>
      </c>
      <c r="H9" s="57">
        <f>IF(D9="","",COUNTIF($D$9:$D$14,"&gt;"&amp;D9)+COUNTIF($D$9:D9,D9))</f>
        <v>1</v>
      </c>
      <c r="I9" s="66" t="s">
        <v>403</v>
      </c>
    </row>
    <row r="10" spans="1:10">
      <c r="A10" t="s">
        <v>316</v>
      </c>
      <c r="B10" s="32">
        <f>IF(COUNTIFS('23_Pivot_Source'!$A$5:$A$439,"Segment",'23_Pivot_Source'!$B$5:$B$439,B$8,'23_Pivot_Source'!$D$5:$D$439,$A10,'23_Pivot_Source'!$E$5:$E$439,$B$6,'23_Pivot_Source'!$G$5:$G$439,"&lt;&gt;")=0,"",SUMIFS('23_Pivot_Source'!$G$5:$G$439,'23_Pivot_Source'!$A$5:$A$439,"Segment",'23_Pivot_Source'!$B$5:$B$439,B$8,'23_Pivot_Source'!$D$5:$D$439,$A10,'23_Pivot_Source'!$E$5:$E$439,$B$6))</f>
        <v>2582</v>
      </c>
      <c r="C10" s="32">
        <f>IF(COUNTIFS('23_Pivot_Source'!$A$5:$A$439,"Segment",'23_Pivot_Source'!$B$5:$B$439,C$8,'23_Pivot_Source'!$D$5:$D$439,$A10,'23_Pivot_Source'!$E$5:$E$439,$B$6,'23_Pivot_Source'!$G$5:$G$439,"&lt;&gt;")=0,"",SUMIFS('23_Pivot_Source'!$G$5:$G$439,'23_Pivot_Source'!$A$5:$A$439,"Segment",'23_Pivot_Source'!$B$5:$B$439,C$8,'23_Pivot_Source'!$D$5:$D$439,$A10,'23_Pivot_Source'!$E$5:$E$439,$B$6))</f>
        <v>2818</v>
      </c>
      <c r="D10" s="32">
        <f>IF(COUNTIFS('23_Pivot_Source'!$A$5:$A$439,"Segment",'23_Pivot_Source'!$B$5:$B$439,D$8,'23_Pivot_Source'!$D$5:$D$439,$A10,'23_Pivot_Source'!$E$5:$E$439,$B$6,'23_Pivot_Source'!$G$5:$G$439,"&lt;&gt;")=0,"",SUMIFS('23_Pivot_Source'!$G$5:$G$439,'23_Pivot_Source'!$A$5:$A$439,"Segment",'23_Pivot_Source'!$B$5:$B$439,D$8,'23_Pivot_Source'!$D$5:$D$439,$A10,'23_Pivot_Source'!$E$5:$E$439,$B$6))</f>
        <v>3020</v>
      </c>
      <c r="E10" s="32">
        <f>IF(COUNTIFS('23_Pivot_Source'!$A$5:$A$439,"Segment",'23_Pivot_Source'!$B$5:$B$439,E$8,'23_Pivot_Source'!$D$5:$D$439,$A10,'23_Pivot_Source'!$E$5:$E$439,$B$6,'23_Pivot_Source'!$G$5:$G$439,"&lt;&gt;")=0,"",SUMIFS('23_Pivot_Source'!$G$5:$G$439,'23_Pivot_Source'!$A$5:$A$439,"Segment",'23_Pivot_Source'!$B$5:$B$439,E$8,'23_Pivot_Source'!$D$5:$D$439,$A10,'23_Pivot_Source'!$E$5:$E$439,$B$6))</f>
        <v>863</v>
      </c>
      <c r="F10" s="32">
        <f>IF(COUNTIFS('23_Pivot_Source'!$A$5:$A$439,"Segment",'23_Pivot_Source'!$B$5:$B$439,F$8,'23_Pivot_Source'!$D$5:$D$439,$A10,'23_Pivot_Source'!$E$5:$E$439,$B$6,'23_Pivot_Source'!$G$5:$G$439,"&lt;&gt;")=0,"",SUMIFS('23_Pivot_Source'!$G$5:$G$439,'23_Pivot_Source'!$A$5:$A$439,"Segment",'23_Pivot_Source'!$B$5:$B$439,F$8,'23_Pivot_Source'!$D$5:$D$439,$A10,'23_Pivot_Source'!$E$5:$E$439,$B$6))</f>
        <v>854</v>
      </c>
      <c r="G10" s="34">
        <f t="shared" si="0"/>
        <v>0.1696359411309063</v>
      </c>
      <c r="H10" s="57">
        <f>IF(D10="","",COUNTIF($D$9:$D$14,"&gt;"&amp;D10)+COUNTIF($D$9:D10,D10))</f>
        <v>4</v>
      </c>
      <c r="I10" s="66" t="s">
        <v>404</v>
      </c>
    </row>
    <row r="11" spans="1:10">
      <c r="A11" t="s">
        <v>317</v>
      </c>
      <c r="B11" s="32">
        <f>IF(COUNTIFS('23_Pivot_Source'!$A$5:$A$439,"Segment",'23_Pivot_Source'!$B$5:$B$439,B$8,'23_Pivot_Source'!$D$5:$D$439,$A11,'23_Pivot_Source'!$E$5:$E$439,$B$6,'23_Pivot_Source'!$G$5:$G$439,"&lt;&gt;")=0,"",SUMIFS('23_Pivot_Source'!$G$5:$G$439,'23_Pivot_Source'!$A$5:$A$439,"Segment",'23_Pivot_Source'!$B$5:$B$439,B$8,'23_Pivot_Source'!$D$5:$D$439,$A11,'23_Pivot_Source'!$E$5:$E$439,$B$6))</f>
        <v>2693</v>
      </c>
      <c r="C11" s="32">
        <f>IF(COUNTIFS('23_Pivot_Source'!$A$5:$A$439,"Segment",'23_Pivot_Source'!$B$5:$B$439,C$8,'23_Pivot_Source'!$D$5:$D$439,$A11,'23_Pivot_Source'!$E$5:$E$439,$B$6,'23_Pivot_Source'!$G$5:$G$439,"&lt;&gt;")=0,"",SUMIFS('23_Pivot_Source'!$G$5:$G$439,'23_Pivot_Source'!$A$5:$A$439,"Segment",'23_Pivot_Source'!$B$5:$B$439,C$8,'23_Pivot_Source'!$D$5:$D$439,$A11,'23_Pivot_Source'!$E$5:$E$439,$B$6))</f>
        <v>3422</v>
      </c>
      <c r="D11" s="32">
        <f>IF(COUNTIFS('23_Pivot_Source'!$A$5:$A$439,"Segment",'23_Pivot_Source'!$B$5:$B$439,D$8,'23_Pivot_Source'!$D$5:$D$439,$A11,'23_Pivot_Source'!$E$5:$E$439,$B$6,'23_Pivot_Source'!$G$5:$G$439,"&lt;&gt;")=0,"",SUMIFS('23_Pivot_Source'!$G$5:$G$439,'23_Pivot_Source'!$A$5:$A$439,"Segment",'23_Pivot_Source'!$B$5:$B$439,D$8,'23_Pivot_Source'!$D$5:$D$439,$A11,'23_Pivot_Source'!$E$5:$E$439,$B$6))</f>
        <v>4289</v>
      </c>
      <c r="E11" s="32">
        <f>IF(COUNTIFS('23_Pivot_Source'!$A$5:$A$439,"Segment",'23_Pivot_Source'!$B$5:$B$439,E$8,'23_Pivot_Source'!$D$5:$D$439,$A11,'23_Pivot_Source'!$E$5:$E$439,$B$6,'23_Pivot_Source'!$G$5:$G$439,"&lt;&gt;")=0,"",SUMIFS('23_Pivot_Source'!$G$5:$G$439,'23_Pivot_Source'!$A$5:$A$439,"Segment",'23_Pivot_Source'!$B$5:$B$439,E$8,'23_Pivot_Source'!$D$5:$D$439,$A11,'23_Pivot_Source'!$E$5:$E$439,$B$6))</f>
        <v>1295</v>
      </c>
      <c r="F11" s="32">
        <f>IF(COUNTIFS('23_Pivot_Source'!$A$5:$A$439,"Segment",'23_Pivot_Source'!$B$5:$B$439,F$8,'23_Pivot_Source'!$D$5:$D$439,$A11,'23_Pivot_Source'!$E$5:$E$439,$B$6,'23_Pivot_Source'!$G$5:$G$439,"&lt;&gt;")=0,"",SUMIFS('23_Pivot_Source'!$G$5:$G$439,'23_Pivot_Source'!$A$5:$A$439,"Segment",'23_Pivot_Source'!$B$5:$B$439,F$8,'23_Pivot_Source'!$D$5:$D$439,$A11,'23_Pivot_Source'!$E$5:$E$439,$B$6))</f>
        <v>1185</v>
      </c>
      <c r="G11" s="34">
        <f t="shared" si="0"/>
        <v>0.59264760490159674</v>
      </c>
      <c r="H11" s="57">
        <f>IF(D11="","",COUNTIF($D$9:$D$14,"&gt;"&amp;D11)+COUNTIF($D$9:D11,D11))</f>
        <v>3</v>
      </c>
      <c r="I11" s="66" t="s">
        <v>405</v>
      </c>
    </row>
    <row r="12" spans="1:10">
      <c r="A12" t="s">
        <v>318</v>
      </c>
      <c r="B12" s="32">
        <f>IF(COUNTIFS('23_Pivot_Source'!$A$5:$A$439,"Segment",'23_Pivot_Source'!$B$5:$B$439,B$8,'23_Pivot_Source'!$D$5:$D$439,$A12,'23_Pivot_Source'!$E$5:$E$439,$B$6,'23_Pivot_Source'!$G$5:$G$439,"&lt;&gt;")=0,"",SUMIFS('23_Pivot_Source'!$G$5:$G$439,'23_Pivot_Source'!$A$5:$A$439,"Segment",'23_Pivot_Source'!$B$5:$B$439,B$8,'23_Pivot_Source'!$D$5:$D$439,$A12,'23_Pivot_Source'!$E$5:$E$439,$B$6))</f>
        <v>549</v>
      </c>
      <c r="C12" s="32">
        <f>IF(COUNTIFS('23_Pivot_Source'!$A$5:$A$439,"Segment",'23_Pivot_Source'!$B$5:$B$439,C$8,'23_Pivot_Source'!$D$5:$D$439,$A12,'23_Pivot_Source'!$E$5:$E$439,$B$6,'23_Pivot_Source'!$G$5:$G$439,"&lt;&gt;")=0,"",SUMIFS('23_Pivot_Source'!$G$5:$G$439,'23_Pivot_Source'!$A$5:$A$439,"Segment",'23_Pivot_Source'!$B$5:$B$439,C$8,'23_Pivot_Source'!$D$5:$D$439,$A12,'23_Pivot_Source'!$E$5:$E$439,$B$6))</f>
        <v>729</v>
      </c>
      <c r="D12" s="32">
        <f>IF(COUNTIFS('23_Pivot_Source'!$A$5:$A$439,"Segment",'23_Pivot_Source'!$B$5:$B$439,D$8,'23_Pivot_Source'!$D$5:$D$439,$A12,'23_Pivot_Source'!$E$5:$E$439,$B$6,'23_Pivot_Source'!$G$5:$G$439,"&lt;&gt;")=0,"",SUMIFS('23_Pivot_Source'!$G$5:$G$439,'23_Pivot_Source'!$A$5:$A$439,"Segment",'23_Pivot_Source'!$B$5:$B$439,D$8,'23_Pivot_Source'!$D$5:$D$439,$A12,'23_Pivot_Source'!$E$5:$E$439,$B$6))</f>
        <v>828</v>
      </c>
      <c r="E12" s="32">
        <f>IF(COUNTIFS('23_Pivot_Source'!$A$5:$A$439,"Segment",'23_Pivot_Source'!$B$5:$B$439,E$8,'23_Pivot_Source'!$D$5:$D$439,$A12,'23_Pivot_Source'!$E$5:$E$439,$B$6,'23_Pivot_Source'!$G$5:$G$439,"&lt;&gt;")=0,"",SUMIFS('23_Pivot_Source'!$G$5:$G$439,'23_Pivot_Source'!$A$5:$A$439,"Segment",'23_Pivot_Source'!$B$5:$B$439,E$8,'23_Pivot_Source'!$D$5:$D$439,$A12,'23_Pivot_Source'!$E$5:$E$439,$B$6))</f>
        <v>213</v>
      </c>
      <c r="F12" s="32">
        <f>IF(COUNTIFS('23_Pivot_Source'!$A$5:$A$439,"Segment",'23_Pivot_Source'!$B$5:$B$439,F$8,'23_Pivot_Source'!$D$5:$D$439,$A12,'23_Pivot_Source'!$E$5:$E$439,$B$6,'23_Pivot_Source'!$G$5:$G$439,"&lt;&gt;")=0,"",SUMIFS('23_Pivot_Source'!$G$5:$G$439,'23_Pivot_Source'!$A$5:$A$439,"Segment",'23_Pivot_Source'!$B$5:$B$439,F$8,'23_Pivot_Source'!$D$5:$D$439,$A12,'23_Pivot_Source'!$E$5:$E$439,$B$6))</f>
        <v>218</v>
      </c>
      <c r="G12" s="34">
        <f t="shared" si="0"/>
        <v>0.50819672131147531</v>
      </c>
      <c r="H12" s="57">
        <f>IF(D12="","",COUNTIF($D$9:$D$14,"&gt;"&amp;D12)+COUNTIF($D$9:D12,D12))</f>
        <v>5</v>
      </c>
      <c r="I12" s="66" t="s">
        <v>406</v>
      </c>
    </row>
    <row r="13" spans="1:10">
      <c r="A13" t="s">
        <v>319</v>
      </c>
      <c r="B13" s="32">
        <f>IF(COUNTIFS('23_Pivot_Source'!$A$5:$A$439,"Segment",'23_Pivot_Source'!$B$5:$B$439,B$8,'23_Pivot_Source'!$D$5:$D$439,$A13,'23_Pivot_Source'!$E$5:$E$439,$B$6,'23_Pivot_Source'!$G$5:$G$439,"&lt;&gt;")=0,"",SUMIFS('23_Pivot_Source'!$G$5:$G$439,'23_Pivot_Source'!$A$5:$A$439,"Segment",'23_Pivot_Source'!$B$5:$B$439,B$8,'23_Pivot_Source'!$D$5:$D$439,$A13,'23_Pivot_Source'!$E$5:$E$439,$B$6))</f>
        <v>4139</v>
      </c>
      <c r="C13" s="32">
        <f>IF(COUNTIFS('23_Pivot_Source'!$A$5:$A$439,"Segment",'23_Pivot_Source'!$B$5:$B$439,C$8,'23_Pivot_Source'!$D$5:$D$439,$A13,'23_Pivot_Source'!$E$5:$E$439,$B$6,'23_Pivot_Source'!$G$5:$G$439,"&lt;&gt;")=0,"",SUMIFS('23_Pivot_Source'!$G$5:$G$439,'23_Pivot_Source'!$A$5:$A$439,"Segment",'23_Pivot_Source'!$B$5:$B$439,C$8,'23_Pivot_Source'!$D$5:$D$439,$A13,'23_Pivot_Source'!$E$5:$E$439,$B$6))</f>
        <v>4573</v>
      </c>
      <c r="D13" s="32">
        <f>IF(COUNTIFS('23_Pivot_Source'!$A$5:$A$439,"Segment",'23_Pivot_Source'!$B$5:$B$439,D$8,'23_Pivot_Source'!$D$5:$D$439,$A13,'23_Pivot_Source'!$E$5:$E$439,$B$6,'23_Pivot_Source'!$G$5:$G$439,"&lt;&gt;")=0,"",SUMIFS('23_Pivot_Source'!$G$5:$G$439,'23_Pivot_Source'!$A$5:$A$439,"Segment",'23_Pivot_Source'!$B$5:$B$439,D$8,'23_Pivot_Source'!$D$5:$D$439,$A13,'23_Pivot_Source'!$E$5:$E$439,$B$6))</f>
        <v>5393</v>
      </c>
      <c r="E13" s="32">
        <f>IF(COUNTIFS('23_Pivot_Source'!$A$5:$A$439,"Segment",'23_Pivot_Source'!$B$5:$B$439,E$8,'23_Pivot_Source'!$D$5:$D$439,$A13,'23_Pivot_Source'!$E$5:$E$439,$B$6,'23_Pivot_Source'!$G$5:$G$439,"&lt;&gt;")=0,"",SUMIFS('23_Pivot_Source'!$G$5:$G$439,'23_Pivot_Source'!$A$5:$A$439,"Segment",'23_Pivot_Source'!$B$5:$B$439,E$8,'23_Pivot_Source'!$D$5:$D$439,$A13,'23_Pivot_Source'!$E$5:$E$439,$B$6))</f>
        <v>1478</v>
      </c>
      <c r="F13" s="32">
        <f>IF(COUNTIFS('23_Pivot_Source'!$A$5:$A$439,"Segment",'23_Pivot_Source'!$B$5:$B$439,F$8,'23_Pivot_Source'!$D$5:$D$439,$A13,'23_Pivot_Source'!$E$5:$E$439,$B$6,'23_Pivot_Source'!$G$5:$G$439,"&lt;&gt;")=0,"",SUMIFS('23_Pivot_Source'!$G$5:$G$439,'23_Pivot_Source'!$A$5:$A$439,"Segment",'23_Pivot_Source'!$B$5:$B$439,F$8,'23_Pivot_Source'!$D$5:$D$439,$A13,'23_Pivot_Source'!$E$5:$E$439,$B$6))</f>
        <v>1484</v>
      </c>
      <c r="G13" s="34">
        <f t="shared" si="0"/>
        <v>0.30297173230248853</v>
      </c>
      <c r="H13" s="57">
        <f>IF(D13="","",COUNTIF($D$9:$D$14,"&gt;"&amp;D13)+COUNTIF($D$9:D13,D13))</f>
        <v>2</v>
      </c>
      <c r="I13" s="66" t="s">
        <v>407</v>
      </c>
    </row>
    <row r="14" spans="1:10">
      <c r="A14" t="s">
        <v>320</v>
      </c>
      <c r="B14" s="32">
        <f>IF(COUNTIFS('23_Pivot_Source'!$A$5:$A$439,"Segment",'23_Pivot_Source'!$B$5:$B$439,B$8,'23_Pivot_Source'!$D$5:$D$439,$A14,'23_Pivot_Source'!$E$5:$E$439,$B$6,'23_Pivot_Source'!$G$5:$G$439,"&lt;&gt;")=0,"",SUMIFS('23_Pivot_Source'!$G$5:$G$439,'23_Pivot_Source'!$A$5:$A$439,"Segment",'23_Pivot_Source'!$B$5:$B$439,B$8,'23_Pivot_Source'!$D$5:$D$439,$A14,'23_Pivot_Source'!$E$5:$E$439,$B$6))</f>
        <v>-769</v>
      </c>
      <c r="C14" s="32">
        <f>IF(COUNTIFS('23_Pivot_Source'!$A$5:$A$439,"Segment",'23_Pivot_Source'!$B$5:$B$439,C$8,'23_Pivot_Source'!$D$5:$D$439,$A14,'23_Pivot_Source'!$E$5:$E$439,$B$6,'23_Pivot_Source'!$G$5:$G$439,"&lt;&gt;")=0,"",SUMIFS('23_Pivot_Source'!$G$5:$G$439,'23_Pivot_Source'!$A$5:$A$439,"Segment",'23_Pivot_Source'!$B$5:$B$439,C$8,'23_Pivot_Source'!$D$5:$D$439,$A14,'23_Pivot_Source'!$E$5:$E$439,$B$6))</f>
        <v>-1223</v>
      </c>
      <c r="D14" s="32">
        <f>IF(COUNTIFS('23_Pivot_Source'!$A$5:$A$439,"Segment",'23_Pivot_Source'!$B$5:$B$439,D$8,'23_Pivot_Source'!$D$5:$D$439,$A14,'23_Pivot_Source'!$E$5:$E$439,$B$6,'23_Pivot_Source'!$G$5:$G$439,"&lt;&gt;")=0,"",SUMIFS('23_Pivot_Source'!$G$5:$G$439,'23_Pivot_Source'!$A$5:$A$439,"Segment",'23_Pivot_Source'!$B$5:$B$439,D$8,'23_Pivot_Source'!$D$5:$D$439,$A14,'23_Pivot_Source'!$E$5:$E$439,$B$6))</f>
        <v>-266</v>
      </c>
      <c r="E14" s="32">
        <f>IF(COUNTIFS('23_Pivot_Source'!$A$5:$A$439,"Segment",'23_Pivot_Source'!$B$5:$B$439,E$8,'23_Pivot_Source'!$D$5:$D$439,$A14,'23_Pivot_Source'!$E$5:$E$439,$B$6,'23_Pivot_Source'!$G$5:$G$439,"&lt;&gt;")=0,"",SUMIFS('23_Pivot_Source'!$G$5:$G$439,'23_Pivot_Source'!$A$5:$A$439,"Segment",'23_Pivot_Source'!$B$5:$B$439,E$8,'23_Pivot_Source'!$D$5:$D$439,$A14,'23_Pivot_Source'!$E$5:$E$439,$B$6))</f>
        <v>-26</v>
      </c>
      <c r="F14" s="32">
        <f>IF(COUNTIFS('23_Pivot_Source'!$A$5:$A$439,"Segment",'23_Pivot_Source'!$B$5:$B$439,F$8,'23_Pivot_Source'!$D$5:$D$439,$A14,'23_Pivot_Source'!$E$5:$E$439,$B$6,'23_Pivot_Source'!$G$5:$G$439,"&lt;&gt;")=0,"",SUMIFS('23_Pivot_Source'!$G$5:$G$439,'23_Pivot_Source'!$A$5:$A$439,"Segment",'23_Pivot_Source'!$B$5:$B$439,F$8,'23_Pivot_Source'!$D$5:$D$439,$A14,'23_Pivot_Source'!$E$5:$E$439,$B$6))</f>
        <v>-102</v>
      </c>
      <c r="G14" s="34">
        <f t="shared" si="0"/>
        <v>-0.65409622886866059</v>
      </c>
      <c r="H14" s="57">
        <f>IF(D14="","",COUNTIF($D$9:$D$14,"&gt;"&amp;D14)+COUNTIF($D$9:D14,D14))</f>
        <v>6</v>
      </c>
      <c r="I14" s="66" t="s">
        <v>408</v>
      </c>
    </row>
    <row r="15" spans="1:10">
      <c r="B15" s="32"/>
      <c r="C15" s="32"/>
      <c r="D15" s="32"/>
      <c r="E15" s="32"/>
      <c r="F15" s="32"/>
      <c r="G15" s="34"/>
    </row>
    <row r="16" spans="1:10" ht="15">
      <c r="A16" t="s">
        <v>748</v>
      </c>
      <c r="B16" s="45">
        <f>IF(OR($B$6="ROE",$B$6="Efficiency Ratio"),IFERROR(AVERAGE(B9:B14),""),SUM(B9:B14))</f>
        <v>14612</v>
      </c>
      <c r="C16" s="45">
        <f>IF(OR($B$6="ROE",$B$6="Efficiency Ratio"),IFERROR(AVERAGE(C9:C14),""),SUM(C9:C14))</f>
        <v>16240</v>
      </c>
      <c r="D16" s="45">
        <f>IF(OR($B$6="ROE",$B$6="Efficiency Ratio"),IFERROR(AVERAGE(D9:D14),""),SUM(D9:D14))</f>
        <v>20369</v>
      </c>
      <c r="E16" s="45">
        <f>IF(OR($B$6="ROE",$B$6="Efficiency Ratio"),IFERROR(AVERAGE(E9:E14),""),SUM(E9:E14))</f>
        <v>5785</v>
      </c>
      <c r="F16" s="45">
        <f>IF(OR($B$6="ROE",$B$6="Efficiency Ratio"),IFERROR(AVERAGE(F9:F14),""),SUM(F9:F14))</f>
        <v>5509</v>
      </c>
      <c r="G16" s="34">
        <f>IFERROR(D16/B16-1,"")</f>
        <v>0.39399124007664943</v>
      </c>
      <c r="H16" t="s">
        <v>156</v>
      </c>
    </row>
    <row r="20" spans="1:10" ht="15">
      <c r="A20" s="144" t="s">
        <v>749</v>
      </c>
      <c r="B20" s="144"/>
      <c r="C20" s="144"/>
      <c r="D20" s="144"/>
      <c r="E20" s="144"/>
      <c r="F20" s="144"/>
      <c r="G20" s="144"/>
      <c r="H20" s="144"/>
      <c r="I20" s="144"/>
      <c r="J20" s="144"/>
    </row>
    <row r="21" spans="1:10" ht="27.95" customHeight="1">
      <c r="A21" s="69" t="s">
        <v>42</v>
      </c>
      <c r="B21" s="66" t="s">
        <v>750</v>
      </c>
    </row>
    <row r="22" spans="1:10" ht="27.95" customHeight="1">
      <c r="A22" s="69" t="s">
        <v>44</v>
      </c>
      <c r="B22" s="66" t="s">
        <v>751</v>
      </c>
    </row>
    <row r="23" spans="1:10" ht="27.95" customHeight="1">
      <c r="A23" s="69" t="s">
        <v>46</v>
      </c>
      <c r="B23" s="66" t="s">
        <v>752</v>
      </c>
    </row>
    <row r="24" spans="1:10" ht="27.95" customHeight="1">
      <c r="A24" s="69" t="s">
        <v>48</v>
      </c>
      <c r="B24" s="66" t="s">
        <v>753</v>
      </c>
    </row>
    <row r="25" spans="1:10" ht="27.95" customHeight="1">
      <c r="A25" s="69" t="s">
        <v>50</v>
      </c>
      <c r="B25" s="66" t="s">
        <v>754</v>
      </c>
    </row>
    <row r="26" spans="1:10" ht="27.95" customHeight="1">
      <c r="A26" s="69" t="s">
        <v>52</v>
      </c>
      <c r="B26" s="66" t="s">
        <v>755</v>
      </c>
    </row>
    <row r="27" spans="1:10" ht="27.95" customHeight="1">
      <c r="A27" s="69" t="s">
        <v>54</v>
      </c>
      <c r="B27" s="66" t="s">
        <v>756</v>
      </c>
    </row>
  </sheetData>
  <mergeCells count="3">
    <mergeCell ref="A1:J2"/>
    <mergeCell ref="A3:J3"/>
    <mergeCell ref="A20:J20"/>
  </mergeCells>
  <conditionalFormatting sqref="D9:D14">
    <cfRule type="dataBar" priority="2">
      <dataBar>
        <cfvo type="min"/>
        <cfvo type="max"/>
        <color rgb="FF5B9BD5"/>
      </dataBar>
    </cfRule>
    <cfRule type="dataBar" priority="4">
      <dataBar>
        <cfvo type="min"/>
        <cfvo type="max"/>
        <color rgb="FF5B9BD5"/>
      </dataBar>
    </cfRule>
  </conditionalFormatting>
  <conditionalFormatting sqref="B9:F14">
    <cfRule type="colorScale" priority="3">
      <colorScale>
        <cfvo type="min"/>
        <cfvo type="percentile" val="50"/>
        <cfvo type="max"/>
        <color rgb="FFFCE4D6"/>
        <color rgb="FFFFF2CC"/>
        <color rgb="FFE2F0D9"/>
      </colorScale>
    </cfRule>
  </conditionalFormatting>
  <conditionalFormatting sqref="D9:D14">
    <cfRule type="dataBar" priority="5">
      <dataBar>
        <cfvo type="min"/>
        <cfvo type="max"/>
        <color rgb="FF5B9BD5"/>
      </dataBar>
      <extLst>
        <ext xmlns:x14="http://schemas.microsoft.com/office/spreadsheetml/2009/9/main" uri="{B025F937-C7B1-47D3-B67F-A62EFF666E3E}">
          <x14:id>{4EAE0DC8-1822-A27C-AEA9-B720EEF5FB4A}</x14:id>
        </ext>
      </extLst>
    </cfRule>
    <cfRule type="dataBar" priority="5">
      <dataBar>
        <cfvo type="min"/>
        <cfvo type="max"/>
        <color rgb="FF5B9BD5"/>
      </dataBar>
    </cfRule>
  </conditionalFormatting>
  <dataValidations count="1">
    <dataValidation type="list" sqref="B6" xr:uid="{00000000-0002-0000-1700-000000000000}">
      <formula1>"Total Revenue,Net Interest Income,Non-Interest Income,PCL,Non-Interest Expense,Net Income,ROE,Efficiency Ratio"</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EAE0DC8-1822-A27C-AEA9-B720EEF5FB4A}">
            <x14:dataBar>
              <x14:cfvo type="min"/>
              <x14:cfvo type="max"/>
              <x14:negativeFillColor auto="1"/>
              <x14:axisColor auto="1"/>
            </x14:dataBar>
          </x14:cfRule>
          <xm:sqref>D9:D14</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9"/>
  <sheetViews>
    <sheetView workbookViewId="0"/>
  </sheetViews>
  <sheetFormatPr defaultRowHeight="14.25"/>
  <cols>
    <col min="1" max="1" width="35" customWidth="1"/>
    <col min="2" max="7" width="16" customWidth="1"/>
    <col min="8" max="8" width="15" customWidth="1"/>
    <col min="9" max="9" width="12" customWidth="1"/>
    <col min="10" max="10" width="48" customWidth="1"/>
  </cols>
  <sheetData>
    <row r="1" spans="1:10">
      <c r="A1" s="139" t="s">
        <v>757</v>
      </c>
      <c r="B1" s="139"/>
      <c r="C1" s="139"/>
      <c r="D1" s="139"/>
      <c r="E1" s="139"/>
      <c r="F1" s="139"/>
      <c r="G1" s="139"/>
      <c r="H1" s="139"/>
      <c r="I1" s="139"/>
      <c r="J1" s="139"/>
    </row>
    <row r="2" spans="1:10">
      <c r="A2" s="139"/>
      <c r="B2" s="139"/>
      <c r="C2" s="139"/>
      <c r="D2" s="139"/>
      <c r="E2" s="139"/>
      <c r="F2" s="139"/>
      <c r="G2" s="139"/>
      <c r="H2" s="139"/>
      <c r="I2" s="139"/>
      <c r="J2" s="139"/>
    </row>
    <row r="3" spans="1:10">
      <c r="A3" s="189" t="s">
        <v>758</v>
      </c>
      <c r="B3" s="189"/>
      <c r="C3" s="189"/>
      <c r="D3" s="189"/>
      <c r="E3" s="189"/>
      <c r="F3" s="189"/>
      <c r="G3" s="189"/>
      <c r="H3" s="189"/>
      <c r="I3" s="189"/>
      <c r="J3" s="189"/>
    </row>
    <row r="5" spans="1:10" ht="15">
      <c r="A5" s="144" t="s">
        <v>759</v>
      </c>
      <c r="B5" s="144"/>
      <c r="C5" s="144"/>
      <c r="D5" s="144"/>
      <c r="E5" s="144"/>
      <c r="F5" s="144"/>
      <c r="G5" s="144"/>
      <c r="H5" s="144"/>
      <c r="I5" s="144"/>
      <c r="J5" s="144"/>
    </row>
    <row r="6" spans="1:10" ht="30">
      <c r="A6" s="59" t="s">
        <v>760</v>
      </c>
      <c r="B6" s="60" t="s">
        <v>761</v>
      </c>
      <c r="C6" s="60" t="s">
        <v>762</v>
      </c>
      <c r="D6" s="60" t="s">
        <v>763</v>
      </c>
      <c r="E6" s="60" t="s">
        <v>764</v>
      </c>
      <c r="F6" s="60" t="s">
        <v>765</v>
      </c>
      <c r="G6" s="60" t="s">
        <v>766</v>
      </c>
      <c r="H6" s="60" t="s">
        <v>767</v>
      </c>
      <c r="I6" s="60" t="s">
        <v>99</v>
      </c>
      <c r="J6" s="61" t="s">
        <v>768</v>
      </c>
    </row>
    <row r="7" spans="1:10">
      <c r="A7" t="s">
        <v>769</v>
      </c>
      <c r="B7" s="33">
        <f>'05_Raw_Annual_Performance'!C7</f>
        <v>51464</v>
      </c>
      <c r="C7" s="33">
        <f>'05_Raw_Annual_Performance'!C5+'05_Raw_Annual_Performance'!C6</f>
        <v>51464</v>
      </c>
      <c r="D7" s="33">
        <f>'05_Raw_Annual_Performance'!D7</f>
        <v>57344</v>
      </c>
      <c r="E7" s="33">
        <f>'05_Raw_Annual_Performance'!D5+'05_Raw_Annual_Performance'!D6</f>
        <v>57344</v>
      </c>
      <c r="F7" s="33">
        <f>'05_Raw_Annual_Performance'!E7</f>
        <v>66605</v>
      </c>
      <c r="G7" s="33">
        <f>'05_Raw_Annual_Performance'!E5+'05_Raw_Annual_Performance'!E6</f>
        <v>66605</v>
      </c>
      <c r="H7" s="33">
        <f>MAX(ABS(B7-C7),ABS(D7-E7),ABS(F7-G7))</f>
        <v>0</v>
      </c>
      <c r="I7" t="str">
        <f>IF(H7=0,"PASS","REVIEW")</f>
        <v>PASS</v>
      </c>
      <c r="J7" t="s">
        <v>770</v>
      </c>
    </row>
    <row r="8" spans="1:10">
      <c r="A8" t="s">
        <v>771</v>
      </c>
      <c r="B8" s="33">
        <f>'05_Raw_Annual_Performance'!C10</f>
        <v>18183</v>
      </c>
      <c r="C8" s="33">
        <f>'05_Raw_Annual_Performance'!C7-'05_Raw_Annual_Performance'!C8-'05_Raw_Annual_Performance'!C9</f>
        <v>18183</v>
      </c>
      <c r="D8" s="33">
        <f>'05_Raw_Annual_Performance'!D10</f>
        <v>19862</v>
      </c>
      <c r="E8" s="33">
        <f>'05_Raw_Annual_Performance'!D7-'05_Raw_Annual_Performance'!D8-'05_Raw_Annual_Performance'!D9</f>
        <v>19862</v>
      </c>
      <c r="F8" s="33">
        <f>'05_Raw_Annual_Performance'!E10</f>
        <v>25651</v>
      </c>
      <c r="G8" s="33">
        <f>'05_Raw_Annual_Performance'!E7-'05_Raw_Annual_Performance'!E8-'05_Raw_Annual_Performance'!E9</f>
        <v>25651</v>
      </c>
      <c r="H8" s="33">
        <f>MAX(ABS(B8-C8),ABS(D8-E8),ABS(F8-G8))</f>
        <v>0</v>
      </c>
      <c r="I8" t="str">
        <f>IF(H8=0,"PASS","REVIEW")</f>
        <v>PASS</v>
      </c>
      <c r="J8" t="s">
        <v>772</v>
      </c>
    </row>
    <row r="9" spans="1:10">
      <c r="A9" t="s">
        <v>773</v>
      </c>
      <c r="B9" s="33">
        <f>'05_Raw_Annual_Performance'!C12</f>
        <v>14612</v>
      </c>
      <c r="C9" s="33">
        <f>'05_Raw_Annual_Performance'!C10-'05_Raw_Annual_Performance'!C11</f>
        <v>14612</v>
      </c>
      <c r="D9" s="33">
        <f>'05_Raw_Annual_Performance'!D12</f>
        <v>16240</v>
      </c>
      <c r="E9" s="33">
        <f>'05_Raw_Annual_Performance'!D10-'05_Raw_Annual_Performance'!D11</f>
        <v>16240</v>
      </c>
      <c r="F9" s="33">
        <f>'05_Raw_Annual_Performance'!E12</f>
        <v>20369</v>
      </c>
      <c r="G9" s="33">
        <f>'05_Raw_Annual_Performance'!E10-'05_Raw_Annual_Performance'!E11</f>
        <v>20369</v>
      </c>
      <c r="H9" s="33">
        <f>MAX(ABS(B9-C9),ABS(D9-E9),ABS(F9-G9))</f>
        <v>0</v>
      </c>
      <c r="I9" t="str">
        <f>IF(H9=0,"PASS","REVIEW")</f>
        <v>PASS</v>
      </c>
      <c r="J9" t="s">
        <v>774</v>
      </c>
    </row>
    <row r="10" spans="1:10">
      <c r="A10" t="s">
        <v>775</v>
      </c>
      <c r="B10" s="33">
        <f>'05_Raw_Annual_Performance'!C18</f>
        <v>20651</v>
      </c>
      <c r="C10" s="33">
        <f>'05_Raw_Annual_Performance'!C10+'05_Raw_Annual_Performance'!C8</f>
        <v>20651</v>
      </c>
      <c r="D10" s="33">
        <f>'05_Raw_Annual_Performance'!D18</f>
        <v>23094</v>
      </c>
      <c r="E10" s="33">
        <f>'05_Raw_Annual_Performance'!D10+'05_Raw_Annual_Performance'!D8</f>
        <v>23094</v>
      </c>
      <c r="F10" s="33">
        <f>'05_Raw_Annual_Performance'!E18</f>
        <v>30013</v>
      </c>
      <c r="G10" s="33">
        <f>'05_Raw_Annual_Performance'!E10+'05_Raw_Annual_Performance'!E8</f>
        <v>30013</v>
      </c>
      <c r="H10" s="33">
        <f>MAX(ABS(B10-C10),ABS(D10-E10),ABS(F10-G10))</f>
        <v>0</v>
      </c>
      <c r="I10" t="str">
        <f>IF(H10=0,"PASS","REVIEW")</f>
        <v>PASS</v>
      </c>
      <c r="J10" t="s">
        <v>776</v>
      </c>
    </row>
    <row r="13" spans="1:10" ht="15">
      <c r="A13" s="144" t="s">
        <v>777</v>
      </c>
      <c r="B13" s="144"/>
      <c r="C13" s="144"/>
      <c r="D13" s="144"/>
      <c r="E13" s="144"/>
      <c r="F13" s="144"/>
      <c r="G13" s="144"/>
      <c r="H13" s="144"/>
      <c r="I13" s="144"/>
      <c r="J13" s="144"/>
    </row>
    <row r="14" spans="1:10" ht="30">
      <c r="A14" s="59" t="s">
        <v>312</v>
      </c>
      <c r="B14" s="60" t="s">
        <v>778</v>
      </c>
      <c r="C14" s="60" t="s">
        <v>779</v>
      </c>
      <c r="D14" s="60" t="s">
        <v>780</v>
      </c>
      <c r="E14" s="60" t="s">
        <v>781</v>
      </c>
      <c r="F14" s="60" t="s">
        <v>782</v>
      </c>
      <c r="G14" s="60" t="s">
        <v>783</v>
      </c>
      <c r="H14" s="60" t="s">
        <v>784</v>
      </c>
      <c r="I14" s="60" t="s">
        <v>785</v>
      </c>
      <c r="J14" s="61" t="s">
        <v>786</v>
      </c>
    </row>
    <row r="15" spans="1:10">
      <c r="A15" t="s">
        <v>219</v>
      </c>
      <c r="B15" s="33">
        <f>SUMIFS('10_Raw_Segment_Results'!$C$5:$C$34,'10_Raw_Segment_Results'!$A$5:$A$34,A15)</f>
        <v>51464</v>
      </c>
      <c r="C15" s="33">
        <f>'05_Raw_Annual_Performance'!C7</f>
        <v>51464</v>
      </c>
      <c r="D15" s="33">
        <f>B15-C15</f>
        <v>0</v>
      </c>
      <c r="E15" s="33">
        <f>SUMIFS('10_Raw_Segment_Results'!$H$5:$H$34,'10_Raw_Segment_Results'!$A$5:$A$34,A15)</f>
        <v>14612</v>
      </c>
      <c r="F15" s="33">
        <f>'05_Raw_Annual_Performance'!C12</f>
        <v>14612</v>
      </c>
      <c r="G15" s="33">
        <f>E15-F15</f>
        <v>0</v>
      </c>
      <c r="H15" t="str">
        <f>IF(D15=0,"PASS","REVIEW")</f>
        <v>PASS</v>
      </c>
      <c r="I15" t="str">
        <f>IF(G15=0,"PASS","REVIEW")</f>
        <v>PASS</v>
      </c>
      <c r="J15" t="s">
        <v>787</v>
      </c>
    </row>
    <row r="16" spans="1:10">
      <c r="A16" t="s">
        <v>220</v>
      </c>
      <c r="B16" s="33">
        <f>SUMIFS('10_Raw_Segment_Results'!$C$5:$C$34,'10_Raw_Segment_Results'!$A$5:$A$34,A16)</f>
        <v>57344</v>
      </c>
      <c r="C16" s="33">
        <f>'05_Raw_Annual_Performance'!D7</f>
        <v>57344</v>
      </c>
      <c r="D16" s="33">
        <f>B16-C16</f>
        <v>0</v>
      </c>
      <c r="E16" s="33">
        <f>SUMIFS('10_Raw_Segment_Results'!$H$5:$H$34,'10_Raw_Segment_Results'!$A$5:$A$34,A16)</f>
        <v>16240</v>
      </c>
      <c r="F16" s="33">
        <f>'05_Raw_Annual_Performance'!D12</f>
        <v>16240</v>
      </c>
      <c r="G16" s="33">
        <f>E16-F16</f>
        <v>0</v>
      </c>
      <c r="H16" t="str">
        <f>IF(D16=0,"PASS","REVIEW")</f>
        <v>PASS</v>
      </c>
      <c r="I16" t="str">
        <f>IF(G16=0,"PASS","REVIEW")</f>
        <v>PASS</v>
      </c>
      <c r="J16" t="s">
        <v>787</v>
      </c>
    </row>
    <row r="17" spans="1:10">
      <c r="A17" t="s">
        <v>105</v>
      </c>
      <c r="B17" s="33">
        <f>SUMIFS('10_Raw_Segment_Results'!$C$5:$C$34,'10_Raw_Segment_Results'!$A$5:$A$34,A17)</f>
        <v>66605</v>
      </c>
      <c r="C17" s="33">
        <f>'05_Raw_Annual_Performance'!E7</f>
        <v>66605</v>
      </c>
      <c r="D17" s="33">
        <f>B17-C17</f>
        <v>0</v>
      </c>
      <c r="E17" s="33">
        <f>SUMIFS('10_Raw_Segment_Results'!$H$5:$H$34,'10_Raw_Segment_Results'!$A$5:$A$34,A17)</f>
        <v>20369</v>
      </c>
      <c r="F17" s="33">
        <f>'05_Raw_Annual_Performance'!E12</f>
        <v>20369</v>
      </c>
      <c r="G17" s="33">
        <f>E17-F17</f>
        <v>0</v>
      </c>
      <c r="H17" t="str">
        <f>IF(D17=0,"PASS","REVIEW")</f>
        <v>PASS</v>
      </c>
      <c r="I17" t="str">
        <f>IF(G17=0,"PASS","REVIEW")</f>
        <v>PASS</v>
      </c>
      <c r="J17" t="s">
        <v>787</v>
      </c>
    </row>
    <row r="18" spans="1:10">
      <c r="A18" t="s">
        <v>252</v>
      </c>
      <c r="B18" s="33">
        <f>SUMIFS('10_Raw_Segment_Results'!$C$5:$C$34,'10_Raw_Segment_Results'!$A$5:$A$34,A18)</f>
        <v>17960</v>
      </c>
      <c r="C18" s="33">
        <f>'06_Raw_Quarterly_Performance'!K7</f>
        <v>17960</v>
      </c>
      <c r="D18" s="33">
        <f>B18-C18</f>
        <v>0</v>
      </c>
      <c r="E18" s="33">
        <f>SUMIFS('10_Raw_Segment_Results'!$H$5:$H$34,'10_Raw_Segment_Results'!$A$5:$A$34,A18)</f>
        <v>5785</v>
      </c>
      <c r="F18" s="33">
        <f>'06_Raw_Quarterly_Performance'!K12</f>
        <v>5785</v>
      </c>
      <c r="G18" s="33">
        <f>E18-F18</f>
        <v>0</v>
      </c>
      <c r="H18" t="str">
        <f>IF(D18=0,"PASS","REVIEW")</f>
        <v>PASS</v>
      </c>
      <c r="I18" t="str">
        <f>IF(G18=0,"PASS","REVIEW")</f>
        <v>PASS</v>
      </c>
      <c r="J18" t="s">
        <v>787</v>
      </c>
    </row>
    <row r="19" spans="1:10">
      <c r="A19" t="s">
        <v>123</v>
      </c>
      <c r="B19" s="33">
        <f>SUMIFS('10_Raw_Segment_Results'!$C$5:$C$34,'10_Raw_Segment_Results'!$A$5:$A$34,A19)</f>
        <v>17453</v>
      </c>
      <c r="C19" s="33">
        <f>'06_Raw_Quarterly_Performance'!L7</f>
        <v>17453</v>
      </c>
      <c r="D19" s="33">
        <f>B19-C19</f>
        <v>0</v>
      </c>
      <c r="E19" s="33">
        <f>SUMIFS('10_Raw_Segment_Results'!$H$5:$H$34,'10_Raw_Segment_Results'!$A$5:$A$34,A19)</f>
        <v>5509</v>
      </c>
      <c r="F19" s="33">
        <f>'06_Raw_Quarterly_Performance'!L12</f>
        <v>5509</v>
      </c>
      <c r="G19" s="33">
        <f>E19-F19</f>
        <v>0</v>
      </c>
      <c r="H19" t="str">
        <f>IF(D19=0,"PASS","REVIEW")</f>
        <v>PASS</v>
      </c>
      <c r="I19" t="str">
        <f>IF(G19=0,"PASS","REVIEW")</f>
        <v>PASS</v>
      </c>
      <c r="J19" t="s">
        <v>787</v>
      </c>
    </row>
    <row r="22" spans="1:10" ht="15">
      <c r="A22" s="144" t="s">
        <v>788</v>
      </c>
      <c r="B22" s="144"/>
      <c r="C22" s="144"/>
      <c r="D22" s="144"/>
      <c r="E22" s="144"/>
      <c r="F22" s="144"/>
      <c r="G22" s="144"/>
      <c r="H22" s="144"/>
      <c r="I22" s="144"/>
      <c r="J22" s="144"/>
    </row>
    <row r="23" spans="1:10" ht="30">
      <c r="A23" s="59" t="s">
        <v>760</v>
      </c>
      <c r="B23" s="60" t="s">
        <v>219</v>
      </c>
      <c r="C23" s="60" t="s">
        <v>220</v>
      </c>
      <c r="D23" s="60" t="s">
        <v>105</v>
      </c>
      <c r="E23" s="60" t="s">
        <v>252</v>
      </c>
      <c r="F23" s="60" t="s">
        <v>123</v>
      </c>
      <c r="G23" s="60" t="s">
        <v>789</v>
      </c>
      <c r="H23" s="60" t="s">
        <v>767</v>
      </c>
      <c r="I23" s="60" t="s">
        <v>99</v>
      </c>
      <c r="J23" s="61" t="s">
        <v>768</v>
      </c>
    </row>
    <row r="24" spans="1:10">
      <c r="A24" t="s">
        <v>790</v>
      </c>
      <c r="B24" s="33">
        <f>'07_Raw_Balance_Sheet'!C9+'07_Raw_Balance_Sheet'!C10-'07_Raw_Balance_Sheet'!C11</f>
        <v>0</v>
      </c>
      <c r="C24" s="33">
        <f>'07_Raw_Balance_Sheet'!D9+'07_Raw_Balance_Sheet'!D10-'07_Raw_Balance_Sheet'!D11</f>
        <v>0</v>
      </c>
      <c r="D24" s="33">
        <f>'07_Raw_Balance_Sheet'!E9+'07_Raw_Balance_Sheet'!E10-'07_Raw_Balance_Sheet'!E11</f>
        <v>0</v>
      </c>
      <c r="E24" s="33">
        <f>'07_Raw_Balance_Sheet'!F9+'07_Raw_Balance_Sheet'!F10-'07_Raw_Balance_Sheet'!F11</f>
        <v>0</v>
      </c>
      <c r="F24" s="33">
        <f>'07_Raw_Balance_Sheet'!G9+'07_Raw_Balance_Sheet'!G10-'07_Raw_Balance_Sheet'!G11</f>
        <v>0</v>
      </c>
      <c r="G24" s="33">
        <v>0</v>
      </c>
      <c r="H24" s="33">
        <f>MAX(ABS(B24),ABS(C24),ABS(D24),ABS(E24),ABS(F24))</f>
        <v>0</v>
      </c>
      <c r="I24" t="str">
        <f>IF(H24=0,"PASS","REVIEW")</f>
        <v>PASS</v>
      </c>
      <c r="J24" t="s">
        <v>791</v>
      </c>
    </row>
    <row r="25" spans="1:10">
      <c r="A25" t="s">
        <v>792</v>
      </c>
      <c r="B25" s="34">
        <f>'09_Raw_Capital_Liquidity'!C5/'09_Raw_Capital_Liquidity'!C8-'09_Raw_Capital_Liquidity'!C9</f>
        <v>2.661168723782914E-4</v>
      </c>
      <c r="C25" s="34">
        <f>'09_Raw_Capital_Liquidity'!D5/'09_Raw_Capital_Liquidity'!D8-'09_Raw_Capital_Liquidity'!D9</f>
        <v>2.897236576317741E-4</v>
      </c>
      <c r="D25" s="34">
        <f>'09_Raw_Capital_Liquidity'!E5/'09_Raw_Capital_Liquidity'!E8-'09_Raw_Capital_Liquidity'!E9</f>
        <v>2.295525351775074E-4</v>
      </c>
      <c r="E25" s="34">
        <f>'09_Raw_Capital_Liquidity'!F5/'09_Raw_Capital_Liquidity'!F8-'09_Raw_Capital_Liquidity'!F9</f>
        <v>-3.2386452572708002E-4</v>
      </c>
      <c r="F25" s="34">
        <f>'09_Raw_Capital_Liquidity'!G5/'09_Raw_Capital_Liquidity'!G8-'09_Raw_Capital_Liquidity'!G9</f>
        <v>3.38436260169106E-4</v>
      </c>
      <c r="G25" s="34">
        <v>5.0000000000000001E-4</v>
      </c>
      <c r="H25" s="34">
        <f>MAX(ABS(B25),ABS(C25),ABS(D25),ABS(E25),ABS(F25))</f>
        <v>3.38436260169106E-4</v>
      </c>
      <c r="I25" t="str">
        <f>IF(H25&lt;=G25,"PASS","REVIEW")</f>
        <v>PASS</v>
      </c>
      <c r="J25" t="s">
        <v>793</v>
      </c>
    </row>
    <row r="26" spans="1:10">
      <c r="A26" t="s">
        <v>794</v>
      </c>
      <c r="B26" s="34">
        <f>'09_Raw_Capital_Liquidity'!C7/'09_Raw_Capital_Liquidity'!C8-'09_Raw_Capital_Liquidity'!C11</f>
        <v>2.8096869795379842E-5</v>
      </c>
      <c r="C26" s="34">
        <f>'09_Raw_Capital_Liquidity'!D7/'09_Raw_Capital_Liquidity'!D8-'09_Raw_Capital_Liquidity'!D11</f>
        <v>3.4621185752406469E-4</v>
      </c>
      <c r="D26" s="34">
        <f>'09_Raw_Capital_Liquidity'!E7/'09_Raw_Capital_Liquidity'!E8-'09_Raw_Capital_Liquidity'!E11</f>
        <v>-3.8180013009689318E-4</v>
      </c>
      <c r="E26" s="34">
        <f>'09_Raw_Capital_Liquidity'!F7/'09_Raw_Capital_Liquidity'!F8-'09_Raw_Capital_Liquidity'!F11</f>
        <v>4.132011602124841E-4</v>
      </c>
      <c r="F26" s="34">
        <f>'09_Raw_Capital_Liquidity'!G7/'09_Raw_Capital_Liquidity'!G8-'09_Raw_Capital_Liquidity'!G11</f>
        <v>-3.0151351206936239E-4</v>
      </c>
      <c r="G26" s="34">
        <v>5.0000000000000001E-4</v>
      </c>
      <c r="H26" s="34">
        <f>MAX(ABS(B26),ABS(C26),ABS(D26),ABS(E26),ABS(F26))</f>
        <v>4.132011602124841E-4</v>
      </c>
      <c r="I26" t="str">
        <f>IF(H26&lt;=G26,"PASS","REVIEW")</f>
        <v>PASS</v>
      </c>
      <c r="J26" t="s">
        <v>795</v>
      </c>
    </row>
    <row r="27" spans="1:10">
      <c r="A27" t="s">
        <v>796</v>
      </c>
      <c r="B27" s="34">
        <f>IF('09_Raw_Capital_Liquidity'!C13="",0,MIN('09_Raw_Capital_Liquidity'!C13,'09_Raw_Capital_Liquidity'!C14)-1)</f>
        <v>0</v>
      </c>
      <c r="C27" s="34">
        <f>MIN('09_Raw_Capital_Liquidity'!D13,'09_Raw_Capital_Liquidity'!D14)-1</f>
        <v>0.1399999999999999</v>
      </c>
      <c r="D27" s="34">
        <f>MIN('09_Raw_Capital_Liquidity'!E13,'09_Raw_Capital_Liquidity'!E14)-1</f>
        <v>0.12000000000000011</v>
      </c>
      <c r="E27" s="34">
        <f>MIN('09_Raw_Capital_Liquidity'!F13,'09_Raw_Capital_Liquidity'!F14)-1</f>
        <v>0.1100000000000001</v>
      </c>
      <c r="F27" s="34">
        <f>MIN('09_Raw_Capital_Liquidity'!G13,'09_Raw_Capital_Liquidity'!G14)-1</f>
        <v>0.1100000000000001</v>
      </c>
      <c r="G27" s="34">
        <v>0</v>
      </c>
      <c r="H27" s="34">
        <f>MIN(C27:F27)</f>
        <v>0.1100000000000001</v>
      </c>
      <c r="I27" t="str">
        <f>IF(H27&gt;=G27,"PASS","REVIEW")</f>
        <v>PASS</v>
      </c>
      <c r="J27" t="s">
        <v>797</v>
      </c>
    </row>
    <row r="31" spans="1:10" ht="15">
      <c r="A31" s="144" t="s">
        <v>798</v>
      </c>
      <c r="B31" s="144"/>
      <c r="C31" s="144"/>
      <c r="D31" s="144"/>
      <c r="E31" s="144"/>
      <c r="F31" s="144"/>
      <c r="G31" s="144"/>
      <c r="H31" s="144"/>
      <c r="I31" s="144"/>
      <c r="J31" s="144"/>
    </row>
    <row r="32" spans="1:10" ht="30">
      <c r="A32" s="59" t="s">
        <v>799</v>
      </c>
      <c r="B32" s="60" t="s">
        <v>800</v>
      </c>
      <c r="C32" s="60" t="s">
        <v>801</v>
      </c>
      <c r="D32" s="60" t="s">
        <v>149</v>
      </c>
      <c r="E32" s="60" t="s">
        <v>802</v>
      </c>
      <c r="F32" s="60" t="s">
        <v>803</v>
      </c>
      <c r="G32" s="60" t="s">
        <v>804</v>
      </c>
      <c r="H32" s="60"/>
      <c r="I32" s="60"/>
      <c r="J32" s="61"/>
    </row>
    <row r="33" spans="1:7" ht="45" customHeight="1">
      <c r="A33" s="2" t="s">
        <v>805</v>
      </c>
      <c r="B33" s="2" t="s">
        <v>806</v>
      </c>
      <c r="C33" s="2" t="s">
        <v>807</v>
      </c>
      <c r="D33" s="2" t="s">
        <v>808</v>
      </c>
      <c r="E33" s="2" t="s">
        <v>809</v>
      </c>
      <c r="F33" s="2" t="s">
        <v>810</v>
      </c>
      <c r="G33" s="2" t="s">
        <v>811</v>
      </c>
    </row>
    <row r="34" spans="1:7" ht="45" customHeight="1">
      <c r="A34" s="2" t="s">
        <v>812</v>
      </c>
      <c r="B34" s="2" t="s">
        <v>813</v>
      </c>
      <c r="C34" s="2" t="s">
        <v>814</v>
      </c>
      <c r="D34" s="2" t="s">
        <v>815</v>
      </c>
      <c r="E34" s="2" t="s">
        <v>816</v>
      </c>
      <c r="F34" s="2" t="s">
        <v>810</v>
      </c>
      <c r="G34" s="2" t="s">
        <v>817</v>
      </c>
    </row>
    <row r="35" spans="1:7" ht="45" customHeight="1">
      <c r="A35" s="2" t="s">
        <v>818</v>
      </c>
      <c r="B35" s="2" t="s">
        <v>819</v>
      </c>
      <c r="C35" s="2" t="s">
        <v>820</v>
      </c>
      <c r="D35" s="2" t="s">
        <v>821</v>
      </c>
      <c r="E35" s="2" t="s">
        <v>822</v>
      </c>
      <c r="F35" s="2" t="s">
        <v>810</v>
      </c>
      <c r="G35" s="2" t="s">
        <v>823</v>
      </c>
    </row>
    <row r="36" spans="1:7" ht="45" customHeight="1">
      <c r="A36" s="2" t="s">
        <v>824</v>
      </c>
      <c r="B36" s="2" t="s">
        <v>825</v>
      </c>
      <c r="C36" s="2" t="s">
        <v>826</v>
      </c>
      <c r="D36" s="2" t="s">
        <v>827</v>
      </c>
      <c r="E36" s="2" t="s">
        <v>828</v>
      </c>
      <c r="F36" s="2" t="s">
        <v>810</v>
      </c>
      <c r="G36" s="2" t="s">
        <v>829</v>
      </c>
    </row>
    <row r="37" spans="1:7" ht="45" customHeight="1">
      <c r="A37" s="2" t="s">
        <v>830</v>
      </c>
      <c r="B37" s="2" t="s">
        <v>831</v>
      </c>
      <c r="C37" s="2" t="s">
        <v>832</v>
      </c>
      <c r="D37" s="2" t="s">
        <v>833</v>
      </c>
      <c r="E37" s="2" t="s">
        <v>834</v>
      </c>
      <c r="F37" s="2" t="s">
        <v>810</v>
      </c>
      <c r="G37" s="2" t="s">
        <v>835</v>
      </c>
    </row>
    <row r="38" spans="1:7" ht="45" customHeight="1">
      <c r="A38" s="2" t="s">
        <v>836</v>
      </c>
      <c r="B38" s="2" t="s">
        <v>837</v>
      </c>
      <c r="C38" s="2" t="s">
        <v>838</v>
      </c>
      <c r="D38" s="2" t="s">
        <v>839</v>
      </c>
      <c r="E38" s="2" t="s">
        <v>840</v>
      </c>
      <c r="F38" s="2" t="s">
        <v>810</v>
      </c>
      <c r="G38" s="2" t="s">
        <v>841</v>
      </c>
    </row>
    <row r="39" spans="1:7" ht="45" customHeight="1">
      <c r="A39" s="2" t="s">
        <v>842</v>
      </c>
      <c r="B39" s="2" t="s">
        <v>843</v>
      </c>
      <c r="C39" s="2" t="s">
        <v>844</v>
      </c>
      <c r="D39" s="2" t="s">
        <v>845</v>
      </c>
      <c r="E39" s="2" t="s">
        <v>846</v>
      </c>
      <c r="F39" s="2" t="s">
        <v>810</v>
      </c>
      <c r="G39" s="2" t="s">
        <v>847</v>
      </c>
    </row>
  </sheetData>
  <mergeCells count="6">
    <mergeCell ref="A31:J31"/>
    <mergeCell ref="A1:J2"/>
    <mergeCell ref="A3:J3"/>
    <mergeCell ref="A5:J5"/>
    <mergeCell ref="A13:J13"/>
    <mergeCell ref="A22:J22"/>
  </mergeCells>
  <conditionalFormatting sqref="I7:I10">
    <cfRule type="expression" dxfId="7" priority="1">
      <formula>I7="PASS"</formula>
    </cfRule>
    <cfRule type="expression" dxfId="6" priority="2">
      <formula>I7="REVIEW"</formula>
    </cfRule>
  </conditionalFormatting>
  <conditionalFormatting sqref="H15:I19">
    <cfRule type="expression" dxfId="5" priority="3">
      <formula>H15="PASS"</formula>
    </cfRule>
    <cfRule type="expression" dxfId="4" priority="4">
      <formula>H15="REVIEW"</formula>
    </cfRule>
    <cfRule type="expression" dxfId="3" priority="5">
      <formula>I15="PASS"</formula>
    </cfRule>
    <cfRule type="expression" dxfId="2" priority="6">
      <formula>I15="REVIEW"</formula>
    </cfRule>
  </conditionalFormatting>
  <conditionalFormatting sqref="I24:I27">
    <cfRule type="expression" dxfId="1" priority="7">
      <formula>I24="PASS"</formula>
    </cfRule>
    <cfRule type="expression" dxfId="0" priority="8">
      <formula>I24="REVIEW"</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D04F-2F06-4D60-BF97-0B9D888859B7}">
  <dimension ref="A1:J16"/>
  <sheetViews>
    <sheetView showGridLines="0" workbookViewId="0">
      <selection activeCell="L26" sqref="L26"/>
    </sheetView>
  </sheetViews>
  <sheetFormatPr defaultRowHeight="14.25"/>
  <cols>
    <col min="1" max="1" width="18.625" bestFit="1" customWidth="1"/>
    <col min="2" max="2" width="13.25" bestFit="1" customWidth="1"/>
    <col min="3" max="4" width="7.375" bestFit="1" customWidth="1"/>
    <col min="5" max="6" width="8.375" bestFit="1" customWidth="1"/>
    <col min="7" max="7" width="11.375" bestFit="1" customWidth="1"/>
    <col min="8" max="15" width="12.25" bestFit="1" customWidth="1"/>
  </cols>
  <sheetData>
    <row r="1" spans="1:10" ht="14.25" customHeight="1">
      <c r="A1" s="139" t="s">
        <v>848</v>
      </c>
      <c r="B1" s="139"/>
      <c r="C1" s="139"/>
      <c r="D1" s="139"/>
      <c r="E1" s="139"/>
      <c r="F1" s="139"/>
      <c r="G1" s="139"/>
      <c r="H1" s="139"/>
      <c r="I1" s="139"/>
      <c r="J1" s="139"/>
    </row>
    <row r="2" spans="1:10" ht="14.25" customHeight="1">
      <c r="A2" s="139"/>
      <c r="B2" s="139"/>
      <c r="C2" s="139"/>
      <c r="D2" s="139"/>
      <c r="E2" s="139"/>
      <c r="F2" s="139"/>
      <c r="G2" s="139"/>
      <c r="H2" s="139"/>
      <c r="I2" s="139"/>
      <c r="J2" s="139"/>
    </row>
    <row r="3" spans="1:10" ht="14.25" customHeight="1">
      <c r="A3" s="58"/>
      <c r="B3" s="58"/>
      <c r="C3" s="136"/>
      <c r="D3" s="136" t="s">
        <v>849</v>
      </c>
      <c r="E3" s="58"/>
      <c r="F3" s="58"/>
      <c r="G3" s="58"/>
      <c r="H3" s="58"/>
      <c r="I3" s="58"/>
      <c r="J3" s="58"/>
    </row>
    <row r="6" spans="1:10" ht="15">
      <c r="A6" s="137" t="s">
        <v>465</v>
      </c>
      <c r="B6" s="138" t="s">
        <v>313</v>
      </c>
    </row>
    <row r="7" spans="1:10" ht="15">
      <c r="A7" s="137" t="s">
        <v>217</v>
      </c>
      <c r="B7" s="138" t="s">
        <v>229</v>
      </c>
    </row>
    <row r="9" spans="1:10">
      <c r="A9" s="134" t="s">
        <v>850</v>
      </c>
      <c r="B9" s="134" t="s">
        <v>312</v>
      </c>
    </row>
    <row r="10" spans="1:10">
      <c r="A10" s="134" t="s">
        <v>313</v>
      </c>
      <c r="B10" t="s">
        <v>219</v>
      </c>
      <c r="C10" t="s">
        <v>220</v>
      </c>
      <c r="D10" t="s">
        <v>105</v>
      </c>
      <c r="E10" t="s">
        <v>252</v>
      </c>
      <c r="F10" t="s">
        <v>123</v>
      </c>
    </row>
    <row r="11" spans="1:10">
      <c r="A11" t="s">
        <v>319</v>
      </c>
      <c r="B11" s="135">
        <v>4139</v>
      </c>
      <c r="C11" s="135">
        <v>4573</v>
      </c>
      <c r="D11" s="135">
        <v>5393</v>
      </c>
      <c r="E11" s="135">
        <v>1478</v>
      </c>
      <c r="F11" s="135">
        <v>1484</v>
      </c>
    </row>
    <row r="12" spans="1:10">
      <c r="A12" t="s">
        <v>316</v>
      </c>
      <c r="B12" s="135">
        <v>2582</v>
      </c>
      <c r="C12" s="135">
        <v>2818</v>
      </c>
      <c r="D12" s="135">
        <v>3020</v>
      </c>
      <c r="E12" s="135">
        <v>863</v>
      </c>
      <c r="F12" s="135">
        <v>854</v>
      </c>
    </row>
    <row r="13" spans="1:10">
      <c r="A13" t="s">
        <v>320</v>
      </c>
      <c r="B13" s="135">
        <v>-769</v>
      </c>
      <c r="C13" s="135">
        <v>-1223</v>
      </c>
      <c r="D13" s="135">
        <v>-266</v>
      </c>
      <c r="E13" s="135">
        <v>-26</v>
      </c>
      <c r="F13" s="135">
        <v>-102</v>
      </c>
    </row>
    <row r="14" spans="1:10">
      <c r="A14" t="s">
        <v>318</v>
      </c>
      <c r="B14" s="135">
        <v>549</v>
      </c>
      <c r="C14" s="135">
        <v>729</v>
      </c>
      <c r="D14" s="135">
        <v>828</v>
      </c>
      <c r="E14" s="135">
        <v>213</v>
      </c>
      <c r="F14" s="135">
        <v>218</v>
      </c>
    </row>
    <row r="15" spans="1:10">
      <c r="A15" t="s">
        <v>314</v>
      </c>
      <c r="B15" s="135">
        <v>5418</v>
      </c>
      <c r="C15" s="135">
        <v>5921</v>
      </c>
      <c r="D15" s="135">
        <v>7105</v>
      </c>
      <c r="E15" s="135">
        <v>1962</v>
      </c>
      <c r="F15" s="135">
        <v>1870</v>
      </c>
    </row>
    <row r="16" spans="1:10">
      <c r="A16" t="s">
        <v>317</v>
      </c>
      <c r="B16" s="135">
        <v>2693</v>
      </c>
      <c r="C16" s="135">
        <v>3422</v>
      </c>
      <c r="D16" s="135">
        <v>4289</v>
      </c>
      <c r="E16" s="135">
        <v>1295</v>
      </c>
      <c r="F16" s="135">
        <v>1185</v>
      </c>
    </row>
  </sheetData>
  <mergeCells count="1">
    <mergeCell ref="A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2026-08-05T21:46:13Z</dcterms:created>
  <dcterms:modified xsi:type="dcterms:W3CDTF">2026-08-05T23:15:11Z</dcterms:modified>
  <cp:category/>
  <cp:contentStatus/>
</cp:coreProperties>
</file>